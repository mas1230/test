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ml.chartshap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ml.chartshap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228" codeName="{EFFCB103-AD96-A003-248E-DF2DB03C906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아성\Downloads\"/>
    </mc:Choice>
  </mc:AlternateContent>
  <xr:revisionPtr revIDLastSave="0" documentId="13_ncr:1_{E19E877F-8352-4433-8516-775339169F89}" xr6:coauthVersionLast="34" xr6:coauthVersionMax="34" xr10:uidLastSave="{00000000-0000-0000-0000-000000000000}"/>
  <bookViews>
    <workbookView xWindow="0" yWindow="0" windowWidth="20490" windowHeight="7500" xr2:uid="{00000000-000D-0000-FFFF-FFFF00000000}"/>
  </bookViews>
  <sheets>
    <sheet name="Fuzzy 추론" sheetId="1" r:id="rId1"/>
  </sheets>
  <calcPr calcId="179017"/>
</workbook>
</file>

<file path=xl/calcChain.xml><?xml version="1.0" encoding="utf-8"?>
<calcChain xmlns="http://schemas.openxmlformats.org/spreadsheetml/2006/main">
  <c r="D62" i="1" l="1"/>
  <c r="F65" i="1"/>
  <c r="F64" i="1"/>
  <c r="F61" i="1"/>
  <c r="F60" i="1"/>
  <c r="D65" i="1"/>
  <c r="D64" i="1"/>
  <c r="D63" i="1"/>
  <c r="D61" i="1"/>
  <c r="D60" i="1"/>
  <c r="B65" i="1"/>
  <c r="B64" i="1"/>
  <c r="B63" i="1"/>
  <c r="B62" i="1"/>
  <c r="B61" i="1"/>
  <c r="B60" i="1"/>
  <c r="H65" i="1" l="1"/>
  <c r="AE65" i="1" s="1"/>
  <c r="H63" i="1"/>
  <c r="Q63" i="1" s="1"/>
  <c r="H60" i="1"/>
  <c r="H61" i="1"/>
  <c r="H62" i="1"/>
  <c r="H64" i="1"/>
  <c r="O65" i="1" l="1"/>
  <c r="Y65" i="1"/>
  <c r="Z65" i="1"/>
  <c r="W65" i="1"/>
  <c r="V65" i="1"/>
  <c r="R63" i="1"/>
  <c r="AF65" i="1"/>
  <c r="Q65" i="1"/>
  <c r="O63" i="1"/>
  <c r="AB65" i="1"/>
  <c r="R65" i="1"/>
  <c r="X65" i="1"/>
  <c r="S65" i="1"/>
  <c r="L65" i="1"/>
  <c r="T65" i="1"/>
  <c r="AD63" i="1"/>
  <c r="U63" i="1"/>
  <c r="W63" i="1"/>
  <c r="AC65" i="1"/>
  <c r="P65" i="1"/>
  <c r="AA65" i="1"/>
  <c r="M65" i="1"/>
  <c r="AD65" i="1"/>
  <c r="N65" i="1"/>
  <c r="U65" i="1"/>
  <c r="S63" i="1"/>
  <c r="N63" i="1"/>
  <c r="M63" i="1"/>
  <c r="V63" i="1"/>
  <c r="AC63" i="1"/>
  <c r="AA63" i="1"/>
  <c r="Z63" i="1"/>
  <c r="Y63" i="1"/>
  <c r="AE63" i="1"/>
  <c r="X63" i="1"/>
  <c r="T63" i="1"/>
  <c r="AF63" i="1"/>
  <c r="P63" i="1"/>
  <c r="AB63" i="1"/>
  <c r="L63" i="1"/>
  <c r="AE60" i="1"/>
  <c r="AA60" i="1"/>
  <c r="W60" i="1"/>
  <c r="S60" i="1"/>
  <c r="O60" i="1"/>
  <c r="Y60" i="1"/>
  <c r="Q60" i="1"/>
  <c r="AF60" i="1"/>
  <c r="X60" i="1"/>
  <c r="P60" i="1"/>
  <c r="AD60" i="1"/>
  <c r="Z60" i="1"/>
  <c r="V60" i="1"/>
  <c r="R60" i="1"/>
  <c r="N60" i="1"/>
  <c r="AC60" i="1"/>
  <c r="U60" i="1"/>
  <c r="M60" i="1"/>
  <c r="AB60" i="1"/>
  <c r="T60" i="1"/>
  <c r="L60" i="1"/>
  <c r="AE62" i="1"/>
  <c r="AA62" i="1"/>
  <c r="W62" i="1"/>
  <c r="S62" i="1"/>
  <c r="O62" i="1"/>
  <c r="Y62" i="1"/>
  <c r="Q62" i="1"/>
  <c r="AF62" i="1"/>
  <c r="X62" i="1"/>
  <c r="P62" i="1"/>
  <c r="AD62" i="1"/>
  <c r="Z62" i="1"/>
  <c r="V62" i="1"/>
  <c r="R62" i="1"/>
  <c r="N62" i="1"/>
  <c r="L62" i="1"/>
  <c r="AC62" i="1"/>
  <c r="U62" i="1"/>
  <c r="M62" i="1"/>
  <c r="AB62" i="1"/>
  <c r="T62" i="1"/>
  <c r="AE61" i="1"/>
  <c r="AA61" i="1"/>
  <c r="W61" i="1"/>
  <c r="S61" i="1"/>
  <c r="O61" i="1"/>
  <c r="L61" i="1"/>
  <c r="AC61" i="1"/>
  <c r="U61" i="1"/>
  <c r="M61" i="1"/>
  <c r="AB61" i="1"/>
  <c r="T61" i="1"/>
  <c r="AD61" i="1"/>
  <c r="Z61" i="1"/>
  <c r="V61" i="1"/>
  <c r="R61" i="1"/>
  <c r="N61" i="1"/>
  <c r="Y61" i="1"/>
  <c r="Q61" i="1"/>
  <c r="AF61" i="1"/>
  <c r="X61" i="1"/>
  <c r="P61" i="1"/>
  <c r="AE64" i="1"/>
  <c r="AA64" i="1"/>
  <c r="W64" i="1"/>
  <c r="S64" i="1"/>
  <c r="O64" i="1"/>
  <c r="Y64" i="1"/>
  <c r="Q64" i="1"/>
  <c r="AF64" i="1"/>
  <c r="X64" i="1"/>
  <c r="P64" i="1"/>
  <c r="L64" i="1"/>
  <c r="AD64" i="1"/>
  <c r="Z64" i="1"/>
  <c r="V64" i="1"/>
  <c r="R64" i="1"/>
  <c r="N64" i="1"/>
  <c r="AC64" i="1"/>
  <c r="U64" i="1"/>
  <c r="M64" i="1"/>
  <c r="AB64" i="1"/>
  <c r="T64" i="1"/>
  <c r="P66" i="1" l="1"/>
  <c r="Y66" i="1"/>
  <c r="AA66" i="1"/>
  <c r="M66" i="1"/>
  <c r="T66" i="1"/>
  <c r="AC66" i="1"/>
  <c r="Z66" i="1"/>
  <c r="AF66" i="1"/>
  <c r="S66" i="1"/>
  <c r="AB66" i="1"/>
  <c r="N66" i="1"/>
  <c r="AD66" i="1"/>
  <c r="Q66" i="1"/>
  <c r="W66" i="1"/>
  <c r="R66" i="1"/>
  <c r="L66" i="1"/>
  <c r="U66" i="1"/>
  <c r="V66" i="1"/>
  <c r="X66" i="1"/>
  <c r="O66" i="1"/>
  <c r="AE66" i="1"/>
</calcChain>
</file>

<file path=xl/sharedStrings.xml><?xml version="1.0" encoding="utf-8"?>
<sst xmlns="http://schemas.openxmlformats.org/spreadsheetml/2006/main" count="92" uniqueCount="43">
  <si>
    <t>Fuzzy Rules</t>
    <phoneticPr fontId="1"/>
  </si>
  <si>
    <t>R1</t>
    <phoneticPr fontId="1"/>
  </si>
  <si>
    <t>R2</t>
    <phoneticPr fontId="1"/>
  </si>
  <si>
    <t>R3</t>
  </si>
  <si>
    <t>R4</t>
  </si>
  <si>
    <t>R5</t>
  </si>
  <si>
    <t>R6</t>
  </si>
  <si>
    <r>
      <t xml:space="preserve"> </t>
    </r>
    <r>
      <rPr>
        <sz val="11"/>
        <color theme="1"/>
        <rFont val="맑은 고딕"/>
        <family val="2"/>
        <charset val="128"/>
        <scheme val="minor"/>
      </rPr>
      <t xml:space="preserve">--  </t>
    </r>
    <phoneticPr fontId="1"/>
  </si>
  <si>
    <r>
      <t xml:space="preserve"> </t>
    </r>
    <r>
      <rPr>
        <sz val="11"/>
        <color theme="1"/>
        <rFont val="맑은 고딕"/>
        <family val="2"/>
        <charset val="128"/>
        <scheme val="minor"/>
      </rPr>
      <t xml:space="preserve">--   </t>
    </r>
    <phoneticPr fontId="1"/>
  </si>
  <si>
    <t>℃</t>
    <phoneticPr fontId="1"/>
  </si>
  <si>
    <t>％</t>
    <phoneticPr fontId="1"/>
  </si>
  <si>
    <t>MIN</t>
    <phoneticPr fontId="1"/>
  </si>
  <si>
    <t>MAX</t>
    <phoneticPr fontId="1"/>
  </si>
  <si>
    <t>実行</t>
    <rPh sb="0" eb="2">
      <t>ジッコウ</t>
    </rPh>
    <phoneticPr fontId="1"/>
  </si>
  <si>
    <t>Copyright© 2015　ASAI Noboru</t>
  </si>
  <si>
    <t>온도</t>
    <rPh sb="0" eb="2">
      <t>オンド</t>
    </rPh>
    <phoneticPr fontId="1"/>
  </si>
  <si>
    <t>온도 ℃</t>
    <rPh sb="0" eb="2">
      <t>オンド</t>
    </rPh>
    <phoneticPr fontId="1"/>
  </si>
  <si>
    <t>낮다</t>
    <rPh sb="0" eb="1">
      <t>ヒク</t>
    </rPh>
    <phoneticPr fontId="1"/>
  </si>
  <si>
    <t>높다</t>
    <rPh sb="0" eb="1">
      <t>タカ</t>
    </rPh>
    <phoneticPr fontId="1"/>
  </si>
  <si>
    <t>습도</t>
    <rPh sb="0" eb="2">
      <t>シツド</t>
    </rPh>
    <phoneticPr fontId="1"/>
  </si>
  <si>
    <t>습도 %</t>
    <rPh sb="0" eb="2">
      <t>シツド</t>
    </rPh>
    <phoneticPr fontId="1"/>
  </si>
  <si>
    <t>에어컨 제어</t>
    <rPh sb="0" eb="2">
      <t>クウチョウ</t>
    </rPh>
    <rPh sb="2" eb="4">
      <t>セイギョ</t>
    </rPh>
    <phoneticPr fontId="1"/>
  </si>
  <si>
    <t>제어값</t>
    <rPh sb="0" eb="2">
      <t>セイギョ</t>
    </rPh>
    <rPh sb="2" eb="3">
      <t>アタイ</t>
    </rPh>
    <phoneticPr fontId="1"/>
  </si>
  <si>
    <t>강냉</t>
    <rPh sb="0" eb="1">
      <t>キョウ</t>
    </rPh>
    <rPh sb="1" eb="2">
      <t>レイ</t>
    </rPh>
    <phoneticPr fontId="1"/>
  </si>
  <si>
    <t>약냉</t>
    <rPh sb="0" eb="1">
      <t>ジャク</t>
    </rPh>
    <rPh sb="1" eb="2">
      <t>レイ</t>
    </rPh>
    <phoneticPr fontId="1"/>
  </si>
  <si>
    <t>약난</t>
    <rPh sb="0" eb="1">
      <t>ジャク</t>
    </rPh>
    <rPh sb="1" eb="2">
      <t>ダン</t>
    </rPh>
    <phoneticPr fontId="1"/>
  </si>
  <si>
    <t>강난</t>
    <rPh sb="0" eb="1">
      <t>キョウ</t>
    </rPh>
    <rPh sb="1" eb="2">
      <t>ダン</t>
    </rPh>
    <phoneticPr fontId="1"/>
  </si>
  <si>
    <t>Fuzzy 추론</t>
    <rPh sb="5" eb="7">
      <t>スイロン</t>
    </rPh>
    <phoneticPr fontId="1"/>
  </si>
  <si>
    <t>에어컨 제어값</t>
    <rPh sb="0" eb="2">
      <t>クウチョウ</t>
    </rPh>
    <rPh sb="2" eb="4">
      <t>セイギョ</t>
    </rPh>
    <rPh sb="4" eb="5">
      <t>アタイ</t>
    </rPh>
    <phoneticPr fontId="1"/>
  </si>
  <si>
    <t>Fuzzy 추론과정</t>
    <rPh sb="5" eb="7">
      <t>スイロン</t>
    </rPh>
    <rPh sb="7" eb="9">
      <t>カテイ</t>
    </rPh>
    <phoneticPr fontId="1"/>
  </si>
  <si>
    <t>(각 규칙의 MIN에 의한 제어값의 절단 결과)</t>
    <rPh sb="1" eb="2">
      <t>カク</t>
    </rPh>
    <rPh sb="12" eb="14">
      <t>セイギョ</t>
    </rPh>
    <rPh sb="14" eb="15">
      <t>アタイ</t>
    </rPh>
    <rPh sb="16" eb="17">
      <t>アタマ</t>
    </rPh>
    <rPh sb="17" eb="18">
      <t>ギ</t>
    </rPh>
    <rPh sb="19" eb="21">
      <t>ケッカ</t>
    </rPh>
    <phoneticPr fontId="1"/>
  </si>
  <si>
    <t xml:space="preserve"> R1～R6의 Membership 함수의 합성 함수(MAX)</t>
    <rPh sb="17" eb="19">
      <t>カンスウ</t>
    </rPh>
    <rPh sb="20" eb="22">
      <t>ゴウセイ</t>
    </rPh>
    <rPh sb="22" eb="24">
      <t>カンスウ</t>
    </rPh>
    <phoneticPr fontId="1"/>
  </si>
  <si>
    <t>합성 함수(MAX)의 중심법에 의해 제어값 p를 구하는 방법</t>
    <rPh sb="0" eb="2">
      <t>ゴウセイ</t>
    </rPh>
    <rPh sb="2" eb="4">
      <t>カンスウ</t>
    </rPh>
    <rPh sb="10" eb="12">
      <t>ジュウシン</t>
    </rPh>
    <rPh sb="12" eb="13">
      <t>ホウ</t>
    </rPh>
    <rPh sb="16" eb="18">
      <t>セイギョ</t>
    </rPh>
    <rPh sb="18" eb="19">
      <t>アタイ</t>
    </rPh>
    <rPh sb="21" eb="22">
      <t>モト</t>
    </rPh>
    <rPh sb="23" eb="24">
      <t>カタ</t>
    </rPh>
    <phoneticPr fontId="1"/>
  </si>
  <si>
    <t>비퍼지화 매크로</t>
    <phoneticPr fontId="1"/>
  </si>
  <si>
    <t>① 합성 함수의 제어값 -10～10의 범위 면적=S</t>
    <rPh sb="1" eb="3">
      <t>ゴウセイ</t>
    </rPh>
    <rPh sb="3" eb="5">
      <t>カンスウ</t>
    </rPh>
    <rPh sb="6" eb="8">
      <t>セイギョ</t>
    </rPh>
    <rPh sb="8" eb="9">
      <t>アタイ</t>
    </rPh>
    <rPh sb="16" eb="18">
      <t>ハンイ</t>
    </rPh>
    <rPh sb="19" eb="21">
      <t>メンセキ</t>
    </rPh>
    <phoneticPr fontId="1"/>
  </si>
  <si>
    <t>② 제어값 -10부터 +방향으로 합성 함수의 값을 누적</t>
    <rPh sb="1" eb="3">
      <t>セイギョ</t>
    </rPh>
    <rPh sb="3" eb="4">
      <t>アタイ</t>
    </rPh>
    <rPh sb="10" eb="12">
      <t>ホウコウ</t>
    </rPh>
    <rPh sb="13" eb="15">
      <t>ゴウセイ</t>
    </rPh>
    <rPh sb="15" eb="17">
      <t>カンスウ</t>
    </rPh>
    <rPh sb="18" eb="19">
      <t>アタイ</t>
    </rPh>
    <rPh sb="20" eb="22">
      <t>セキサン</t>
    </rPh>
    <phoneticPr fontId="1"/>
  </si>
  <si>
    <t>　 S/2가 되는 ( 또는 넘는) 위치의 제어값 -&gt;ｐ　</t>
    <rPh sb="13" eb="14">
      <t>コ</t>
    </rPh>
    <rPh sb="17" eb="19">
      <t>イチ</t>
    </rPh>
    <rPh sb="20" eb="22">
      <t>セイギョ</t>
    </rPh>
    <rPh sb="22" eb="23">
      <t>アタイ</t>
    </rPh>
    <phoneticPr fontId="1"/>
  </si>
  <si>
    <t>밀폐정도</t>
    <rPh sb="0" eb="1">
      <t>キ</t>
    </rPh>
    <rPh sb="2" eb="3">
      <t>セイ</t>
    </rPh>
    <phoneticPr fontId="1"/>
  </si>
  <si>
    <t>주) Y 축 방향은 무관하므로 정확한 중심은 불필요</t>
    <rPh sb="0" eb="1">
      <t>チュウ</t>
    </rPh>
    <rPh sb="3" eb="4">
      <t>ジク</t>
    </rPh>
    <rPh sb="4" eb="6">
      <t>ホウコウ</t>
    </rPh>
    <rPh sb="7" eb="10">
      <t>ムカンケイ</t>
    </rPh>
    <rPh sb="13" eb="15">
      <t>ゲンミツ</t>
    </rPh>
    <rPh sb="16" eb="18">
      <t>ジュウシン</t>
    </rPh>
    <rPh sb="19" eb="21">
      <t>フヨウ</t>
    </rPh>
    <phoneticPr fontId="1"/>
  </si>
  <si>
    <r>
      <t xml:space="preserve">온도, 습도, 밀폐정도를 입력하고 </t>
    </r>
    <r>
      <rPr>
        <sz val="10"/>
        <color rgb="FF0000FF"/>
        <rFont val="맑은 고딕"/>
        <family val="3"/>
        <charset val="129"/>
        <scheme val="minor"/>
      </rPr>
      <t>실행 버튼</t>
    </r>
    <r>
      <rPr>
        <sz val="10"/>
        <color theme="1"/>
        <rFont val="맑은 고딕"/>
        <family val="3"/>
        <charset val="128"/>
        <scheme val="minor"/>
      </rPr>
      <t>을 누른다.</t>
    </r>
    <rPh sb="0" eb="2">
      <t>オンド</t>
    </rPh>
    <rPh sb="3" eb="5">
      <t>シツド</t>
    </rPh>
    <rPh sb="6" eb="7">
      <t>キ</t>
    </rPh>
    <rPh sb="8" eb="9">
      <t>セイ</t>
    </rPh>
    <rPh sb="10" eb="12">
      <t>ニュウリョク</t>
    </rPh>
    <rPh sb="15" eb="17">
      <t>ジッコウ</t>
    </rPh>
    <rPh sb="22" eb="23">
      <t>オ</t>
    </rPh>
    <phoneticPr fontId="1"/>
  </si>
  <si>
    <t>Ex.3 퍼지 추론에 의한 에어컨 제어</t>
    <rPh sb="10" eb="12">
      <t>スイロン</t>
    </rPh>
    <rPh sb="15" eb="17">
      <t>クウチョウ</t>
    </rPh>
    <rPh sb="17" eb="19">
      <t>セイギョ</t>
    </rPh>
    <phoneticPr fontId="1"/>
  </si>
  <si>
    <t>소속 함수</t>
    <rPh sb="0" eb="5">
      <t>カンスウ</t>
    </rPh>
    <phoneticPr fontId="1"/>
  </si>
  <si>
    <t>밀폐 정도</t>
    <rPh sb="0" eb="1">
      <t>キ</t>
    </rPh>
    <rPh sb="2" eb="3">
      <t>セイ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</si>
</sst>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_ "/>
  </numFmts>
  <fonts count="10" x14ac:knownFonts="1">
    <font>
      <sz val="11"/>
      <color theme="1"/>
      <name val="맑은 고딕"/>
      <family val="2"/>
      <charset val="128"/>
      <scheme val="minor"/>
    </font>
    <font>
      <sz val="6"/>
      <name val="맑은 고딕"/>
      <family val="2"/>
      <charset val="128"/>
      <scheme val="minor"/>
    </font>
    <font>
      <sz val="10"/>
      <color theme="1"/>
      <name val="맑은 고딕"/>
      <family val="2"/>
      <charset val="128"/>
      <scheme val="minor"/>
    </font>
    <font>
      <sz val="8"/>
      <color theme="1"/>
      <name val="맑은 고딕"/>
      <family val="2"/>
      <charset val="128"/>
      <scheme val="minor"/>
    </font>
    <font>
      <b/>
      <sz val="12"/>
      <color theme="1"/>
      <name val="맑은 고딕"/>
      <family val="3"/>
      <charset val="128"/>
      <scheme val="minor"/>
    </font>
    <font>
      <sz val="11"/>
      <color theme="1"/>
      <name val="맑은 고딕"/>
      <family val="3"/>
      <charset val="128"/>
      <scheme val="minor"/>
    </font>
    <font>
      <sz val="10"/>
      <color theme="1"/>
      <name val="맑은 고딕"/>
      <family val="3"/>
      <charset val="128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rgb="FF0000FF"/>
      <name val="맑은 고딕"/>
      <family val="3"/>
      <charset val="129"/>
    </font>
    <font>
      <sz val="10"/>
      <color rgb="FF0000FF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1">
    <xf numFmtId="0" fontId="0" fillId="0" borderId="0">
      <alignment vertical="center"/>
    </xf>
  </cellStyleXfs>
  <cellXfs count="59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1" xfId="0" applyFont="1" applyBorder="1">
      <alignment vertical="center"/>
    </xf>
    <xf numFmtId="176" fontId="3" fillId="0" borderId="1" xfId="0" applyNumberFormat="1" applyFont="1" applyBorder="1">
      <alignment vertical="center"/>
    </xf>
    <xf numFmtId="0" fontId="3" fillId="2" borderId="1" xfId="0" applyFont="1" applyFill="1" applyBorder="1">
      <alignment vertical="center"/>
    </xf>
    <xf numFmtId="0" fontId="3" fillId="3" borderId="1" xfId="0" applyFont="1" applyFill="1" applyBorder="1">
      <alignment vertical="center"/>
    </xf>
    <xf numFmtId="176" fontId="3" fillId="0" borderId="2" xfId="0" applyNumberFormat="1" applyFont="1" applyBorder="1">
      <alignment vertical="center"/>
    </xf>
    <xf numFmtId="176" fontId="3" fillId="0" borderId="0" xfId="0" applyNumberFormat="1" applyFont="1" applyBorder="1">
      <alignment vertical="center"/>
    </xf>
    <xf numFmtId="0" fontId="3" fillId="0" borderId="2" xfId="0" applyFont="1" applyFill="1" applyBorder="1">
      <alignment vertical="center"/>
    </xf>
    <xf numFmtId="0" fontId="3" fillId="0" borderId="0" xfId="0" applyFont="1" applyFill="1" applyBorder="1">
      <alignment vertical="center"/>
    </xf>
    <xf numFmtId="176" fontId="3" fillId="0" borderId="2" xfId="0" applyNumberFormat="1" applyFont="1" applyFill="1" applyBorder="1">
      <alignment vertical="center"/>
    </xf>
    <xf numFmtId="176" fontId="3" fillId="0" borderId="0" xfId="0" applyNumberFormat="1" applyFont="1" applyFill="1" applyBorder="1">
      <alignment vertical="center"/>
    </xf>
    <xf numFmtId="0" fontId="3" fillId="0" borderId="0" xfId="0" applyFont="1" applyBorder="1">
      <alignment vertical="center"/>
    </xf>
    <xf numFmtId="0" fontId="3" fillId="4" borderId="1" xfId="0" applyFont="1" applyFill="1" applyBorder="1">
      <alignment vertical="center"/>
    </xf>
    <xf numFmtId="0" fontId="4" fillId="0" borderId="0" xfId="0" applyFont="1">
      <alignment vertical="center"/>
    </xf>
    <xf numFmtId="0" fontId="0" fillId="0" borderId="1" xfId="0" applyBorder="1">
      <alignment vertical="center"/>
    </xf>
    <xf numFmtId="0" fontId="5" fillId="0" borderId="1" xfId="0" applyFont="1" applyBorder="1">
      <alignment vertical="center"/>
    </xf>
    <xf numFmtId="0" fontId="0" fillId="0" borderId="2" xfId="0" applyBorder="1">
      <alignment vertical="center"/>
    </xf>
    <xf numFmtId="0" fontId="2" fillId="0" borderId="1" xfId="0" applyFont="1" applyBorder="1">
      <alignment vertical="center"/>
    </xf>
    <xf numFmtId="0" fontId="6" fillId="0" borderId="1" xfId="0" applyFont="1" applyBorder="1">
      <alignment vertical="center"/>
    </xf>
    <xf numFmtId="0" fontId="3" fillId="6" borderId="1" xfId="0" applyFont="1" applyFill="1" applyBorder="1">
      <alignment vertical="center"/>
    </xf>
    <xf numFmtId="0" fontId="6" fillId="0" borderId="5" xfId="0" applyFont="1" applyBorder="1">
      <alignment vertical="center"/>
    </xf>
    <xf numFmtId="176" fontId="3" fillId="7" borderId="1" xfId="0" applyNumberFormat="1" applyFont="1" applyFill="1" applyBorder="1">
      <alignment vertical="center"/>
    </xf>
    <xf numFmtId="0" fontId="0" fillId="0" borderId="0" xfId="0" applyBorder="1">
      <alignment vertical="center"/>
    </xf>
    <xf numFmtId="0" fontId="4" fillId="0" borderId="6" xfId="0" applyFont="1" applyBorder="1">
      <alignment vertical="center"/>
    </xf>
    <xf numFmtId="0" fontId="4" fillId="0" borderId="7" xfId="0" applyFont="1" applyBorder="1">
      <alignment vertical="center"/>
    </xf>
    <xf numFmtId="0" fontId="4" fillId="0" borderId="8" xfId="0" applyFont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6" fillId="0" borderId="7" xfId="0" applyFont="1" applyBorder="1">
      <alignment vertical="center"/>
    </xf>
    <xf numFmtId="0" fontId="6" fillId="0" borderId="0" xfId="0" applyFont="1" applyBorder="1">
      <alignment vertical="center"/>
    </xf>
    <xf numFmtId="0" fontId="7" fillId="0" borderId="0" xfId="0" applyFont="1">
      <alignment vertical="center"/>
    </xf>
    <xf numFmtId="0" fontId="0" fillId="5" borderId="3" xfId="0" applyFill="1" applyBorder="1" applyAlignment="1">
      <alignment vertical="center"/>
    </xf>
    <xf numFmtId="0" fontId="0" fillId="5" borderId="4" xfId="0" applyFill="1" applyBorder="1" applyAlignment="1">
      <alignment vertical="center"/>
    </xf>
    <xf numFmtId="0" fontId="0" fillId="5" borderId="5" xfId="0" applyFill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8" borderId="3" xfId="0" applyFill="1" applyBorder="1" applyAlignment="1">
      <alignment vertical="center"/>
    </xf>
    <xf numFmtId="0" fontId="0" fillId="8" borderId="5" xfId="0" applyFill="1" applyBorder="1" applyAlignment="1">
      <alignment vertical="center"/>
    </xf>
    <xf numFmtId="0" fontId="2" fillId="0" borderId="3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center"/>
    </xf>
    <xf numFmtId="0" fontId="5" fillId="0" borderId="3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6" fillId="7" borderId="3" xfId="0" applyFont="1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6" fillId="8" borderId="3" xfId="0" applyFont="1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colors>
    <mruColors>
      <color rgb="FFCCFFFF"/>
      <color rgb="FFCCFFCC"/>
      <color rgb="FF000000"/>
      <color rgb="FF00FF0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'Fuzzy 추론'!$A$6</c:f>
              <c:strCache>
                <c:ptCount val="1"/>
                <c:pt idx="0">
                  <c:v>낮다</c:v>
                </c:pt>
              </c:strCache>
            </c:strRef>
          </c:tx>
          <c:marker>
            <c:symbol val="none"/>
          </c:marker>
          <c:cat>
            <c:numRef>
              <c:f>'Fuzzy 추론'!$B$5:$AF$5</c:f>
              <c:numCache>
                <c:formatCode>General</c:formatCode>
                <c:ptCount val="3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</c:numCache>
            </c:numRef>
          </c:cat>
          <c:val>
            <c:numRef>
              <c:f>'Fuzzy 추론'!$B$6:$AF$6</c:f>
              <c:numCache>
                <c:formatCode>0.0_ </c:formatCode>
                <c:ptCount val="3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0.9</c:v>
                </c:pt>
                <c:pt idx="7">
                  <c:v>0.8</c:v>
                </c:pt>
                <c:pt idx="8">
                  <c:v>0.7</c:v>
                </c:pt>
                <c:pt idx="9">
                  <c:v>0.6</c:v>
                </c:pt>
                <c:pt idx="10">
                  <c:v>0.5</c:v>
                </c:pt>
                <c:pt idx="11">
                  <c:v>0.4</c:v>
                </c:pt>
                <c:pt idx="12">
                  <c:v>0.3</c:v>
                </c:pt>
                <c:pt idx="13">
                  <c:v>0.2</c:v>
                </c:pt>
                <c:pt idx="14">
                  <c:v>0.1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9C-45A3-816F-7C94931AAAC3}"/>
            </c:ext>
          </c:extLst>
        </c:ser>
        <c:ser>
          <c:idx val="1"/>
          <c:order val="1"/>
          <c:tx>
            <c:strRef>
              <c:f>'Fuzzy 추론'!$A$7</c:f>
              <c:strCache>
                <c:ptCount val="1"/>
                <c:pt idx="0">
                  <c:v>높다</c:v>
                </c:pt>
              </c:strCache>
            </c:strRef>
          </c:tx>
          <c:marker>
            <c:symbol val="none"/>
          </c:marker>
          <c:cat>
            <c:numRef>
              <c:f>'Fuzzy 추론'!$B$5:$AF$5</c:f>
              <c:numCache>
                <c:formatCode>General</c:formatCode>
                <c:ptCount val="3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</c:numCache>
            </c:numRef>
          </c:cat>
          <c:val>
            <c:numRef>
              <c:f>'Fuzzy 추론'!$B$7:$AF$7</c:f>
              <c:numCache>
                <c:formatCode>0.0_ 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</c:v>
                </c:pt>
                <c:pt idx="12">
                  <c:v>0.2</c:v>
                </c:pt>
                <c:pt idx="13">
                  <c:v>0.3</c:v>
                </c:pt>
                <c:pt idx="14">
                  <c:v>0.4</c:v>
                </c:pt>
                <c:pt idx="15">
                  <c:v>0.5</c:v>
                </c:pt>
                <c:pt idx="16">
                  <c:v>0.6</c:v>
                </c:pt>
                <c:pt idx="17">
                  <c:v>0.7</c:v>
                </c:pt>
                <c:pt idx="18">
                  <c:v>0.8</c:v>
                </c:pt>
                <c:pt idx="19">
                  <c:v>0.9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D9C-45A3-816F-7C94931AAA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9761408"/>
        <c:axId val="189762944"/>
      </c:lineChart>
      <c:catAx>
        <c:axId val="189761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189762944"/>
        <c:crosses val="autoZero"/>
        <c:auto val="1"/>
        <c:lblAlgn val="ctr"/>
        <c:lblOffset val="100"/>
        <c:noMultiLvlLbl val="0"/>
      </c:catAx>
      <c:valAx>
        <c:axId val="189762944"/>
        <c:scaling>
          <c:orientation val="minMax"/>
          <c:max val="1"/>
        </c:scaling>
        <c:delete val="0"/>
        <c:axPos val="l"/>
        <c:majorGridlines/>
        <c:numFmt formatCode="0.0_ 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18976140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ja-JP"/>
          </a:pPr>
          <a:endParaRPr lang="ko-K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'Fuzzy 추론'!$A$11</c:f>
              <c:strCache>
                <c:ptCount val="1"/>
                <c:pt idx="0">
                  <c:v>낮다</c:v>
                </c:pt>
              </c:strCache>
            </c:strRef>
          </c:tx>
          <c:marker>
            <c:symbol val="none"/>
          </c:marker>
          <c:cat>
            <c:numRef>
              <c:f>'Fuzzy 추론'!$B$10:$V$10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cat>
          <c:val>
            <c:numRef>
              <c:f>'Fuzzy 추론'!$B$11:$V$11</c:f>
              <c:numCache>
                <c:formatCode>0.0_ </c:formatCode>
                <c:ptCount val="2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0.9</c:v>
                </c:pt>
                <c:pt idx="7">
                  <c:v>0.8</c:v>
                </c:pt>
                <c:pt idx="8">
                  <c:v>0.7</c:v>
                </c:pt>
                <c:pt idx="9">
                  <c:v>0.6</c:v>
                </c:pt>
                <c:pt idx="10">
                  <c:v>0.5</c:v>
                </c:pt>
                <c:pt idx="11">
                  <c:v>0.4</c:v>
                </c:pt>
                <c:pt idx="12">
                  <c:v>0.3</c:v>
                </c:pt>
                <c:pt idx="13">
                  <c:v>0.2</c:v>
                </c:pt>
                <c:pt idx="14">
                  <c:v>0.1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7D-4610-AD6D-789D210390AB}"/>
            </c:ext>
          </c:extLst>
        </c:ser>
        <c:ser>
          <c:idx val="1"/>
          <c:order val="1"/>
          <c:tx>
            <c:strRef>
              <c:f>'Fuzzy 추론'!$A$12</c:f>
              <c:strCache>
                <c:ptCount val="1"/>
                <c:pt idx="0">
                  <c:v>높다</c:v>
                </c:pt>
              </c:strCache>
            </c:strRef>
          </c:tx>
          <c:marker>
            <c:symbol val="none"/>
          </c:marker>
          <c:cat>
            <c:numRef>
              <c:f>'Fuzzy 추론'!$B$10:$V$10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cat>
          <c:val>
            <c:numRef>
              <c:f>'Fuzzy 추론'!$B$12:$V$12</c:f>
              <c:numCache>
                <c:formatCode>0.0_ 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</c:v>
                </c:pt>
                <c:pt idx="9">
                  <c:v>0.2</c:v>
                </c:pt>
                <c:pt idx="10">
                  <c:v>0.3</c:v>
                </c:pt>
                <c:pt idx="11">
                  <c:v>0.4</c:v>
                </c:pt>
                <c:pt idx="12">
                  <c:v>0.5</c:v>
                </c:pt>
                <c:pt idx="13">
                  <c:v>0.6</c:v>
                </c:pt>
                <c:pt idx="14">
                  <c:v>0.7</c:v>
                </c:pt>
                <c:pt idx="15">
                  <c:v>0.8</c:v>
                </c:pt>
                <c:pt idx="16">
                  <c:v>0.9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47D-4610-AD6D-789D210390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9684736"/>
        <c:axId val="189694720"/>
      </c:lineChart>
      <c:catAx>
        <c:axId val="189684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189694720"/>
        <c:crosses val="autoZero"/>
        <c:auto val="1"/>
        <c:lblAlgn val="ctr"/>
        <c:lblOffset val="100"/>
        <c:noMultiLvlLbl val="0"/>
      </c:catAx>
      <c:valAx>
        <c:axId val="189694720"/>
        <c:scaling>
          <c:orientation val="minMax"/>
          <c:max val="1"/>
        </c:scaling>
        <c:delete val="0"/>
        <c:axPos val="l"/>
        <c:majorGridlines/>
        <c:numFmt formatCode="0.0_ 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189684736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ja-JP"/>
          </a:pPr>
          <a:endParaRPr lang="ko-K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'Fuzzy 추론'!$A$16</c:f>
              <c:strCache>
                <c:ptCount val="1"/>
                <c:pt idx="0">
                  <c:v>낮다</c:v>
                </c:pt>
              </c:strCache>
            </c:strRef>
          </c:tx>
          <c:marker>
            <c:symbol val="none"/>
          </c:marker>
          <c:cat>
            <c:numRef>
              <c:f>'Fuzzy 추론'!$B$15:$L$15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'Fuzzy 추론'!$B$16:$L$16</c:f>
              <c:numCache>
                <c:formatCode>0.0_ </c:formatCode>
                <c:ptCount val="1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3B-408F-B601-9B7C655AEAF2}"/>
            </c:ext>
          </c:extLst>
        </c:ser>
        <c:ser>
          <c:idx val="1"/>
          <c:order val="1"/>
          <c:tx>
            <c:strRef>
              <c:f>'Fuzzy 추론'!$A$17</c:f>
              <c:strCache>
                <c:ptCount val="1"/>
                <c:pt idx="0">
                  <c:v>높다</c:v>
                </c:pt>
              </c:strCache>
            </c:strRef>
          </c:tx>
          <c:marker>
            <c:symbol val="none"/>
          </c:marker>
          <c:cat>
            <c:numRef>
              <c:f>'Fuzzy 추론'!$B$15:$L$15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'Fuzzy 추론'!$B$17:$L$17</c:f>
              <c:numCache>
                <c:formatCode>0.0_ 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3B-408F-B601-9B7C655AEA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9719296"/>
        <c:axId val="189720832"/>
      </c:lineChart>
      <c:catAx>
        <c:axId val="189719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189720832"/>
        <c:crosses val="autoZero"/>
        <c:auto val="1"/>
        <c:lblAlgn val="ctr"/>
        <c:lblOffset val="100"/>
        <c:noMultiLvlLbl val="0"/>
      </c:catAx>
      <c:valAx>
        <c:axId val="189720832"/>
        <c:scaling>
          <c:orientation val="minMax"/>
          <c:max val="1"/>
        </c:scaling>
        <c:delete val="0"/>
        <c:axPos val="l"/>
        <c:majorGridlines/>
        <c:numFmt formatCode="0.0_ 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189719296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ja-JP"/>
          </a:pPr>
          <a:endParaRPr lang="ko-K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 horizontalDpi="-3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'Fuzzy 추론'!$A$21</c:f>
              <c:strCache>
                <c:ptCount val="1"/>
                <c:pt idx="0">
                  <c:v>강냉</c:v>
                </c:pt>
              </c:strCache>
            </c:strRef>
          </c:tx>
          <c:marker>
            <c:symbol val="none"/>
          </c:marker>
          <c:cat>
            <c:numRef>
              <c:f>'Fuzzy 추론'!$B$20:$V$20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cat>
          <c:val>
            <c:numRef>
              <c:f>'Fuzzy 추론'!$B$21:$V$21</c:f>
              <c:numCache>
                <c:formatCode>0.0_ </c:formatCode>
                <c:ptCount val="2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0.8</c:v>
                </c:pt>
                <c:pt idx="4">
                  <c:v>0.6</c:v>
                </c:pt>
                <c:pt idx="5">
                  <c:v>0.4</c:v>
                </c:pt>
                <c:pt idx="6">
                  <c:v>0.2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39-4EF9-AB3E-19A5976E7A87}"/>
            </c:ext>
          </c:extLst>
        </c:ser>
        <c:ser>
          <c:idx val="1"/>
          <c:order val="1"/>
          <c:tx>
            <c:strRef>
              <c:f>'Fuzzy 추론'!$A$22</c:f>
              <c:strCache>
                <c:ptCount val="1"/>
                <c:pt idx="0">
                  <c:v>약냉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'Fuzzy 추론'!$B$20:$V$20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cat>
          <c:val>
            <c:numRef>
              <c:f>'Fuzzy 추론'!$B$22:$V$22</c:f>
              <c:numCache>
                <c:formatCode>0.0_ </c:formatCode>
                <c:ptCount val="21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</c:v>
                </c:pt>
                <c:pt idx="7">
                  <c:v>0.8</c:v>
                </c:pt>
                <c:pt idx="8">
                  <c:v>0.6</c:v>
                </c:pt>
                <c:pt idx="9">
                  <c:v>0.4</c:v>
                </c:pt>
                <c:pt idx="10">
                  <c:v>0.2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39-4EF9-AB3E-19A5976E7A87}"/>
            </c:ext>
          </c:extLst>
        </c:ser>
        <c:ser>
          <c:idx val="2"/>
          <c:order val="2"/>
          <c:tx>
            <c:strRef>
              <c:f>'Fuzzy 추론'!$A$23</c:f>
              <c:strCache>
                <c:ptCount val="1"/>
                <c:pt idx="0">
                  <c:v>약난</c:v>
                </c:pt>
              </c:strCache>
            </c:strRef>
          </c:tx>
          <c:spPr>
            <a:ln>
              <a:solidFill>
                <a:srgbClr val="7030A0"/>
              </a:solidFill>
            </a:ln>
          </c:spPr>
          <c:marker>
            <c:symbol val="none"/>
          </c:marker>
          <c:cat>
            <c:numRef>
              <c:f>'Fuzzy 추론'!$B$20:$V$20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cat>
          <c:val>
            <c:numRef>
              <c:f>'Fuzzy 추론'!$B$23:$V$23</c:f>
              <c:numCache>
                <c:formatCode>0.0_ 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0.4</c:v>
                </c:pt>
                <c:pt idx="10">
                  <c:v>0.6</c:v>
                </c:pt>
                <c:pt idx="11">
                  <c:v>0.8</c:v>
                </c:pt>
                <c:pt idx="12">
                  <c:v>1</c:v>
                </c:pt>
                <c:pt idx="13">
                  <c:v>1</c:v>
                </c:pt>
                <c:pt idx="14">
                  <c:v>0.8</c:v>
                </c:pt>
                <c:pt idx="15">
                  <c:v>0.6</c:v>
                </c:pt>
                <c:pt idx="16">
                  <c:v>0.4</c:v>
                </c:pt>
                <c:pt idx="17">
                  <c:v>0.2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A39-4EF9-AB3E-19A5976E7A87}"/>
            </c:ext>
          </c:extLst>
        </c:ser>
        <c:ser>
          <c:idx val="3"/>
          <c:order val="3"/>
          <c:tx>
            <c:strRef>
              <c:f>'Fuzzy 추론'!$A$24</c:f>
              <c:strCache>
                <c:ptCount val="1"/>
                <c:pt idx="0">
                  <c:v>강난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'Fuzzy 추론'!$B$20:$V$20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cat>
          <c:val>
            <c:numRef>
              <c:f>'Fuzzy 추론'!$B$24:$V$24</c:f>
              <c:numCache>
                <c:formatCode>0.0_ 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0.2</c:v>
                </c:pt>
                <c:pt idx="15">
                  <c:v>0.4</c:v>
                </c:pt>
                <c:pt idx="16">
                  <c:v>0.6</c:v>
                </c:pt>
                <c:pt idx="17">
                  <c:v>0.8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A39-4EF9-AB3E-19A5976E7A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1206528"/>
        <c:axId val="191208064"/>
      </c:lineChart>
      <c:catAx>
        <c:axId val="191206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191208064"/>
        <c:crosses val="autoZero"/>
        <c:auto val="1"/>
        <c:lblAlgn val="ctr"/>
        <c:lblOffset val="100"/>
        <c:noMultiLvlLbl val="0"/>
      </c:catAx>
      <c:valAx>
        <c:axId val="191208064"/>
        <c:scaling>
          <c:orientation val="minMax"/>
          <c:max val="1"/>
        </c:scaling>
        <c:delete val="0"/>
        <c:axPos val="l"/>
        <c:majorGridlines/>
        <c:numFmt formatCode="0.0_ 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19120652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ja-JP"/>
          </a:pPr>
          <a:endParaRPr lang="ko-K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'Fuzzy 추론'!$J$60</c:f>
              <c:strCache>
                <c:ptCount val="1"/>
                <c:pt idx="0">
                  <c:v>약냉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'Fuzzy 추론'!$L$59:$AF$59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cat>
          <c:val>
            <c:numRef>
              <c:f>'Fuzzy 추론'!$L$60:$AF$60</c:f>
              <c:numCache>
                <c:formatCode>0.0_ </c:formatCode>
                <c:ptCount val="21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0.4</c:v>
                </c:pt>
                <c:pt idx="4">
                  <c:v>0.4</c:v>
                </c:pt>
                <c:pt idx="5">
                  <c:v>0.4</c:v>
                </c:pt>
                <c:pt idx="6">
                  <c:v>0.4</c:v>
                </c:pt>
                <c:pt idx="7">
                  <c:v>0.4</c:v>
                </c:pt>
                <c:pt idx="8">
                  <c:v>0.4</c:v>
                </c:pt>
                <c:pt idx="9">
                  <c:v>0.4</c:v>
                </c:pt>
                <c:pt idx="10">
                  <c:v>0.2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34-4E01-8A81-1879A452CA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2353024"/>
        <c:axId val="192354560"/>
      </c:lineChart>
      <c:catAx>
        <c:axId val="1923530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192354560"/>
        <c:crosses val="autoZero"/>
        <c:auto val="1"/>
        <c:lblAlgn val="ctr"/>
        <c:lblOffset val="100"/>
        <c:noMultiLvlLbl val="0"/>
      </c:catAx>
      <c:valAx>
        <c:axId val="192354560"/>
        <c:scaling>
          <c:orientation val="minMax"/>
          <c:max val="1"/>
        </c:scaling>
        <c:delete val="0"/>
        <c:axPos val="l"/>
        <c:majorGridlines/>
        <c:numFmt formatCode="0.0_ 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19235302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ja-JP"/>
          </a:pPr>
          <a:endParaRPr lang="ko-K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'Fuzzy 추론'!$J$61</c:f>
              <c:strCache>
                <c:ptCount val="1"/>
                <c:pt idx="0">
                  <c:v>강냉</c:v>
                </c:pt>
              </c:strCache>
            </c:strRef>
          </c:tx>
          <c:marker>
            <c:symbol val="none"/>
          </c:marker>
          <c:cat>
            <c:numRef>
              <c:f>'Fuzzy 추론'!$L$59:$AF$59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cat>
          <c:val>
            <c:numRef>
              <c:f>'Fuzzy 추론'!$L$61:$AF$61</c:f>
              <c:numCache>
                <c:formatCode>0.0_ </c:formatCode>
                <c:ptCount val="21"/>
                <c:pt idx="0">
                  <c:v>0.6</c:v>
                </c:pt>
                <c:pt idx="1">
                  <c:v>0.6</c:v>
                </c:pt>
                <c:pt idx="2">
                  <c:v>0.6</c:v>
                </c:pt>
                <c:pt idx="3">
                  <c:v>0.6</c:v>
                </c:pt>
                <c:pt idx="4">
                  <c:v>0.6</c:v>
                </c:pt>
                <c:pt idx="5">
                  <c:v>0.4</c:v>
                </c:pt>
                <c:pt idx="6">
                  <c:v>0.2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D4-4C94-B27C-22C01A683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2379136"/>
        <c:axId val="192389120"/>
      </c:lineChart>
      <c:catAx>
        <c:axId val="192379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192389120"/>
        <c:crosses val="autoZero"/>
        <c:auto val="1"/>
        <c:lblAlgn val="ctr"/>
        <c:lblOffset val="100"/>
        <c:noMultiLvlLbl val="0"/>
      </c:catAx>
      <c:valAx>
        <c:axId val="192389120"/>
        <c:scaling>
          <c:orientation val="minMax"/>
          <c:max val="1"/>
        </c:scaling>
        <c:delete val="0"/>
        <c:axPos val="l"/>
        <c:majorGridlines/>
        <c:numFmt formatCode="0.0_ 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192379136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ja-JP"/>
          </a:pPr>
          <a:endParaRPr lang="ko-K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'Fuzzy 추론'!$J$62</c:f>
              <c:strCache>
                <c:ptCount val="1"/>
                <c:pt idx="0">
                  <c:v>약냉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'Fuzzy 추론'!$L$59:$AF$59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cat>
          <c:val>
            <c:numRef>
              <c:f>'Fuzzy 추론'!$L$62:$AF$62</c:f>
              <c:numCache>
                <c:formatCode>0.0_ </c:formatCode>
                <c:ptCount val="21"/>
                <c:pt idx="0">
                  <c:v>0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21-43B9-B5DF-E5B7DD9A6D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2954752"/>
        <c:axId val="192956288"/>
      </c:lineChart>
      <c:catAx>
        <c:axId val="192954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192956288"/>
        <c:crosses val="autoZero"/>
        <c:auto val="1"/>
        <c:lblAlgn val="ctr"/>
        <c:lblOffset val="100"/>
        <c:noMultiLvlLbl val="0"/>
      </c:catAx>
      <c:valAx>
        <c:axId val="192956288"/>
        <c:scaling>
          <c:orientation val="minMax"/>
          <c:max val="1"/>
        </c:scaling>
        <c:delete val="0"/>
        <c:axPos val="l"/>
        <c:majorGridlines/>
        <c:numFmt formatCode="0.0_ 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192954752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ja-JP"/>
          </a:pPr>
          <a:endParaRPr lang="ko-K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'Fuzzy 추론'!$J$63</c:f>
              <c:strCache>
                <c:ptCount val="1"/>
                <c:pt idx="0">
                  <c:v>약난</c:v>
                </c:pt>
              </c:strCache>
            </c:strRef>
          </c:tx>
          <c:spPr>
            <a:ln>
              <a:solidFill>
                <a:srgbClr val="7030A0"/>
              </a:solidFill>
            </a:ln>
          </c:spPr>
          <c:marker>
            <c:symbol val="none"/>
          </c:marker>
          <c:cat>
            <c:numRef>
              <c:f>'Fuzzy 추론'!$L$59:$AF$59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cat>
          <c:val>
            <c:numRef>
              <c:f>'Fuzzy 추론'!$L$63:$AF$63</c:f>
              <c:numCache>
                <c:formatCode>0.0_ 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70-479D-B6B1-1C457E7817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2972672"/>
        <c:axId val="192974208"/>
      </c:lineChart>
      <c:catAx>
        <c:axId val="192972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192974208"/>
        <c:crosses val="autoZero"/>
        <c:auto val="1"/>
        <c:lblAlgn val="ctr"/>
        <c:lblOffset val="100"/>
        <c:noMultiLvlLbl val="0"/>
      </c:catAx>
      <c:valAx>
        <c:axId val="192974208"/>
        <c:scaling>
          <c:orientation val="minMax"/>
          <c:max val="1"/>
        </c:scaling>
        <c:delete val="0"/>
        <c:axPos val="l"/>
        <c:majorGridlines/>
        <c:numFmt formatCode="0.0_ 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192972672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ja-JP"/>
          </a:pPr>
          <a:endParaRPr lang="ko-K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'Fuzzy 추론'!$J$64</c:f>
              <c:strCache>
                <c:ptCount val="1"/>
                <c:pt idx="0">
                  <c:v>약난</c:v>
                </c:pt>
              </c:strCache>
            </c:strRef>
          </c:tx>
          <c:spPr>
            <a:ln>
              <a:solidFill>
                <a:srgbClr val="7030A0"/>
              </a:solidFill>
            </a:ln>
          </c:spPr>
          <c:marker>
            <c:symbol val="none"/>
          </c:marker>
          <c:cat>
            <c:numRef>
              <c:f>'Fuzzy 추론'!$L$59:$AF$59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cat>
          <c:val>
            <c:numRef>
              <c:f>'Fuzzy 추론'!$L$64:$AF$64</c:f>
              <c:numCache>
                <c:formatCode>0.0_ 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EC-41A2-9A1A-FA5AC06345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2994304"/>
        <c:axId val="193078016"/>
      </c:lineChart>
      <c:catAx>
        <c:axId val="192994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193078016"/>
        <c:crosses val="autoZero"/>
        <c:auto val="1"/>
        <c:lblAlgn val="ctr"/>
        <c:lblOffset val="100"/>
        <c:noMultiLvlLbl val="0"/>
      </c:catAx>
      <c:valAx>
        <c:axId val="193078016"/>
        <c:scaling>
          <c:orientation val="minMax"/>
          <c:max val="1"/>
        </c:scaling>
        <c:delete val="0"/>
        <c:axPos val="l"/>
        <c:majorGridlines/>
        <c:numFmt formatCode="0.0_ 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19299430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ja-JP"/>
          </a:pPr>
          <a:endParaRPr lang="ko-K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'Fuzzy 추론'!$J$65</c:f>
              <c:strCache>
                <c:ptCount val="1"/>
                <c:pt idx="0">
                  <c:v>강난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'Fuzzy 추론'!$L$59:$AF$59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cat>
          <c:val>
            <c:numRef>
              <c:f>'Fuzzy 추론'!$L$65:$AF$65</c:f>
              <c:numCache>
                <c:formatCode>0.0_ 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BA-4E34-AFD1-095BE1DE80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3102592"/>
        <c:axId val="193104128"/>
      </c:lineChart>
      <c:catAx>
        <c:axId val="193102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193104128"/>
        <c:crosses val="autoZero"/>
        <c:auto val="1"/>
        <c:lblAlgn val="ctr"/>
        <c:lblOffset val="100"/>
        <c:noMultiLvlLbl val="0"/>
      </c:catAx>
      <c:valAx>
        <c:axId val="193104128"/>
        <c:scaling>
          <c:orientation val="minMax"/>
          <c:max val="1"/>
        </c:scaling>
        <c:delete val="0"/>
        <c:axPos val="l"/>
        <c:majorGridlines/>
        <c:numFmt formatCode="0.0_ 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193102592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ja-JP"/>
          </a:pPr>
          <a:endParaRPr lang="ko-K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'Fuzzy 추론'!$J$66</c:f>
              <c:strCache>
                <c:ptCount val="1"/>
                <c:pt idx="0">
                  <c:v>MAX</c:v>
                </c:pt>
              </c:strCache>
            </c:strRef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cat>
            <c:numRef>
              <c:f>'Fuzzy 추론'!$L$59:$AF$59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cat>
          <c:val>
            <c:numRef>
              <c:f>'Fuzzy 추론'!$L$66:$AF$66</c:f>
              <c:numCache>
                <c:formatCode>0.0_ </c:formatCode>
                <c:ptCount val="21"/>
                <c:pt idx="0">
                  <c:v>0.6</c:v>
                </c:pt>
                <c:pt idx="1">
                  <c:v>0.6</c:v>
                </c:pt>
                <c:pt idx="2">
                  <c:v>0.6</c:v>
                </c:pt>
                <c:pt idx="3">
                  <c:v>0.6</c:v>
                </c:pt>
                <c:pt idx="4">
                  <c:v>0.6</c:v>
                </c:pt>
                <c:pt idx="5">
                  <c:v>0.4</c:v>
                </c:pt>
                <c:pt idx="6">
                  <c:v>0.4</c:v>
                </c:pt>
                <c:pt idx="7">
                  <c:v>0.4</c:v>
                </c:pt>
                <c:pt idx="8">
                  <c:v>0.4</c:v>
                </c:pt>
                <c:pt idx="9">
                  <c:v>0.4</c:v>
                </c:pt>
                <c:pt idx="10">
                  <c:v>0.2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7B-4245-8A80-98DE957009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3120512"/>
        <c:axId val="194449408"/>
      </c:lineChart>
      <c:catAx>
        <c:axId val="193120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194449408"/>
        <c:crosses val="autoZero"/>
        <c:auto val="1"/>
        <c:lblAlgn val="ctr"/>
        <c:lblOffset val="100"/>
        <c:noMultiLvlLbl val="0"/>
      </c:catAx>
      <c:valAx>
        <c:axId val="194449408"/>
        <c:scaling>
          <c:orientation val="minMax"/>
          <c:max val="1"/>
        </c:scaling>
        <c:delete val="0"/>
        <c:axPos val="l"/>
        <c:majorGridlines/>
        <c:numFmt formatCode="0.0_ 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193120512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ja-JP"/>
          </a:pPr>
          <a:endParaRPr lang="ko-K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25</xdr:row>
      <xdr:rowOff>161925</xdr:rowOff>
    </xdr:from>
    <xdr:to>
      <xdr:col>15</xdr:col>
      <xdr:colOff>123824</xdr:colOff>
      <xdr:row>35</xdr:row>
      <xdr:rowOff>66675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12</xdr:col>
      <xdr:colOff>219075</xdr:colOff>
      <xdr:row>26</xdr:row>
      <xdr:rowOff>104775</xdr:rowOff>
    </xdr:from>
    <xdr:ext cx="466794" cy="336246"/>
    <xdr:sp macro="" textlink="">
      <xdr:nvSpPr>
        <xdr:cNvPr id="6" name="テキスト ボックス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3162300" y="4572000"/>
          <a:ext cx="466794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ko-KR" altLang="en-US" sz="1100"/>
            <a:t>온도</a:t>
          </a:r>
          <a:endParaRPr kumimoji="1" lang="en-US" altLang="ko-KR" sz="1100"/>
        </a:p>
      </xdr:txBody>
    </xdr:sp>
    <xdr:clientData/>
  </xdr:oneCellAnchor>
  <xdr:twoCellAnchor>
    <xdr:from>
      <xdr:col>15</xdr:col>
      <xdr:colOff>228599</xdr:colOff>
      <xdr:row>25</xdr:row>
      <xdr:rowOff>161925</xdr:rowOff>
    </xdr:from>
    <xdr:to>
      <xdr:col>29</xdr:col>
      <xdr:colOff>66674</xdr:colOff>
      <xdr:row>35</xdr:row>
      <xdr:rowOff>66675</xdr:rowOff>
    </xdr:to>
    <xdr:graphicFrame macro="">
      <xdr:nvGraphicFramePr>
        <xdr:cNvPr id="8" name="グラフ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133350</xdr:colOff>
      <xdr:row>36</xdr:row>
      <xdr:rowOff>161925</xdr:rowOff>
    </xdr:from>
    <xdr:to>
      <xdr:col>12</xdr:col>
      <xdr:colOff>76200</xdr:colOff>
      <xdr:row>46</xdr:row>
      <xdr:rowOff>66675</xdr:rowOff>
    </xdr:to>
    <xdr:graphicFrame macro="">
      <xdr:nvGraphicFramePr>
        <xdr:cNvPr id="9" name="グラフ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9</xdr:col>
      <xdr:colOff>66675</xdr:colOff>
      <xdr:row>37</xdr:row>
      <xdr:rowOff>85725</xdr:rowOff>
    </xdr:from>
    <xdr:ext cx="748923" cy="336246"/>
    <xdr:sp macro="" textlink="">
      <xdr:nvSpPr>
        <xdr:cNvPr id="10" name="テキスト ボックス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2343150" y="6858000"/>
          <a:ext cx="748923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ko-KR" altLang="en-US" sz="1100"/>
            <a:t>밀폐정도</a:t>
          </a:r>
          <a:endParaRPr kumimoji="1" lang="en-US" altLang="ko-KR" sz="1100"/>
        </a:p>
      </xdr:txBody>
    </xdr:sp>
    <xdr:clientData/>
  </xdr:oneCellAnchor>
  <xdr:twoCellAnchor>
    <xdr:from>
      <xdr:col>12</xdr:col>
      <xdr:colOff>228599</xdr:colOff>
      <xdr:row>36</xdr:row>
      <xdr:rowOff>161925</xdr:rowOff>
    </xdr:from>
    <xdr:to>
      <xdr:col>31</xdr:col>
      <xdr:colOff>47624</xdr:colOff>
      <xdr:row>46</xdr:row>
      <xdr:rowOff>66675</xdr:rowOff>
    </xdr:to>
    <xdr:graphicFrame macro="">
      <xdr:nvGraphicFramePr>
        <xdr:cNvPr id="11" name="グラフ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28</xdr:col>
      <xdr:colOff>28575</xdr:colOff>
      <xdr:row>37</xdr:row>
      <xdr:rowOff>38100</xdr:rowOff>
    </xdr:from>
    <xdr:ext cx="607859" cy="336246"/>
    <xdr:sp macro="" textlink="">
      <xdr:nvSpPr>
        <xdr:cNvPr id="12" name="テキスト ボックス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6629400" y="6810375"/>
          <a:ext cx="607859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ko-KR" altLang="en-US" sz="1100"/>
            <a:t>제어값</a:t>
          </a:r>
          <a:endParaRPr kumimoji="1" lang="en-US" altLang="ko-KR" sz="1100"/>
        </a:p>
      </xdr:txBody>
    </xdr:sp>
    <xdr:clientData/>
  </xdr:oneCellAnchor>
  <xdr:twoCellAnchor>
    <xdr:from>
      <xdr:col>20</xdr:col>
      <xdr:colOff>219075</xdr:colOff>
      <xdr:row>51</xdr:row>
      <xdr:rowOff>95250</xdr:rowOff>
    </xdr:from>
    <xdr:to>
      <xdr:col>21</xdr:col>
      <xdr:colOff>171450</xdr:colOff>
      <xdr:row>53</xdr:row>
      <xdr:rowOff>85725</xdr:rowOff>
    </xdr:to>
    <xdr:sp macro="" textlink="">
      <xdr:nvSpPr>
        <xdr:cNvPr id="13" name="右矢印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4991100" y="8286750"/>
          <a:ext cx="180975" cy="33337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66675</xdr:colOff>
      <xdr:row>71</xdr:row>
      <xdr:rowOff>47625</xdr:rowOff>
    </xdr:from>
    <xdr:to>
      <xdr:col>17</xdr:col>
      <xdr:colOff>142875</xdr:colOff>
      <xdr:row>79</xdr:row>
      <xdr:rowOff>123825</xdr:rowOff>
    </xdr:to>
    <xdr:graphicFrame macro="">
      <xdr:nvGraphicFramePr>
        <xdr:cNvPr id="14" name="グラフ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66675</xdr:colOff>
      <xdr:row>80</xdr:row>
      <xdr:rowOff>0</xdr:rowOff>
    </xdr:from>
    <xdr:to>
      <xdr:col>17</xdr:col>
      <xdr:colOff>142875</xdr:colOff>
      <xdr:row>88</xdr:row>
      <xdr:rowOff>38100</xdr:rowOff>
    </xdr:to>
    <xdr:graphicFrame macro="">
      <xdr:nvGraphicFramePr>
        <xdr:cNvPr id="15" name="グラフ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66675</xdr:colOff>
      <xdr:row>88</xdr:row>
      <xdr:rowOff>85725</xdr:rowOff>
    </xdr:from>
    <xdr:to>
      <xdr:col>17</xdr:col>
      <xdr:colOff>142875</xdr:colOff>
      <xdr:row>96</xdr:row>
      <xdr:rowOff>104775</xdr:rowOff>
    </xdr:to>
    <xdr:graphicFrame macro="">
      <xdr:nvGraphicFramePr>
        <xdr:cNvPr id="17" name="グラフ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66675</xdr:colOff>
      <xdr:row>96</xdr:row>
      <xdr:rowOff>161925</xdr:rowOff>
    </xdr:from>
    <xdr:to>
      <xdr:col>17</xdr:col>
      <xdr:colOff>142875</xdr:colOff>
      <xdr:row>105</xdr:row>
      <xdr:rowOff>38100</xdr:rowOff>
    </xdr:to>
    <xdr:graphicFrame macro="">
      <xdr:nvGraphicFramePr>
        <xdr:cNvPr id="18" name="グラフ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66675</xdr:colOff>
      <xdr:row>105</xdr:row>
      <xdr:rowOff>76200</xdr:rowOff>
    </xdr:from>
    <xdr:to>
      <xdr:col>17</xdr:col>
      <xdr:colOff>142875</xdr:colOff>
      <xdr:row>113</xdr:row>
      <xdr:rowOff>76200</xdr:rowOff>
    </xdr:to>
    <xdr:graphicFrame macro="">
      <xdr:nvGraphicFramePr>
        <xdr:cNvPr id="19" name="グラフ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66675</xdr:colOff>
      <xdr:row>113</xdr:row>
      <xdr:rowOff>123825</xdr:rowOff>
    </xdr:from>
    <xdr:to>
      <xdr:col>17</xdr:col>
      <xdr:colOff>142875</xdr:colOff>
      <xdr:row>121</xdr:row>
      <xdr:rowOff>133350</xdr:rowOff>
    </xdr:to>
    <xdr:graphicFrame macro="">
      <xdr:nvGraphicFramePr>
        <xdr:cNvPr id="20" name="グラフ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85725</xdr:colOff>
      <xdr:row>124</xdr:row>
      <xdr:rowOff>47625</xdr:rowOff>
    </xdr:from>
    <xdr:to>
      <xdr:col>17</xdr:col>
      <xdr:colOff>161925</xdr:colOff>
      <xdr:row>133</xdr:row>
      <xdr:rowOff>123825</xdr:rowOff>
    </xdr:to>
    <xdr:graphicFrame macro="">
      <xdr:nvGraphicFramePr>
        <xdr:cNvPr id="21" name="グラフ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26</xdr:col>
      <xdr:colOff>104775</xdr:colOff>
      <xdr:row>51</xdr:row>
      <xdr:rowOff>85725</xdr:rowOff>
    </xdr:from>
    <xdr:to>
      <xdr:col>27</xdr:col>
      <xdr:colOff>57150</xdr:colOff>
      <xdr:row>53</xdr:row>
      <xdr:rowOff>76200</xdr:rowOff>
    </xdr:to>
    <xdr:sp macro="" textlink="">
      <xdr:nvSpPr>
        <xdr:cNvPr id="23" name="右矢印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6248400" y="8286750"/>
          <a:ext cx="180975" cy="33337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15</xdr:col>
      <xdr:colOff>142875</xdr:colOff>
      <xdr:row>71</xdr:row>
      <xdr:rowOff>142875</xdr:rowOff>
    </xdr:from>
    <xdr:ext cx="373115" cy="311496"/>
    <xdr:sp macro="" textlink="">
      <xdr:nvSpPr>
        <xdr:cNvPr id="24" name="テキスト ボックス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 txBox="1"/>
      </xdr:nvSpPr>
      <xdr:spPr>
        <a:xfrm>
          <a:off x="3771900" y="11468100"/>
          <a:ext cx="373115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en-US" altLang="ja-JP" sz="1400"/>
            <a:t>R1</a:t>
          </a:r>
          <a:endParaRPr kumimoji="1" lang="ja-JP" altLang="en-US" sz="1400"/>
        </a:p>
      </xdr:txBody>
    </xdr:sp>
    <xdr:clientData/>
  </xdr:oneCellAnchor>
  <xdr:oneCellAnchor>
    <xdr:from>
      <xdr:col>15</xdr:col>
      <xdr:colOff>180975</xdr:colOff>
      <xdr:row>88</xdr:row>
      <xdr:rowOff>133350</xdr:rowOff>
    </xdr:from>
    <xdr:ext cx="373115" cy="311496"/>
    <xdr:sp macro="" textlink="">
      <xdr:nvSpPr>
        <xdr:cNvPr id="25" name="テキスト ボックス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 txBox="1"/>
      </xdr:nvSpPr>
      <xdr:spPr>
        <a:xfrm>
          <a:off x="3810000" y="14373225"/>
          <a:ext cx="373115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en-US" altLang="ja-JP" sz="1400"/>
            <a:t>R3</a:t>
          </a:r>
          <a:endParaRPr kumimoji="1" lang="ja-JP" altLang="en-US" sz="1400"/>
        </a:p>
      </xdr:txBody>
    </xdr:sp>
    <xdr:clientData/>
  </xdr:oneCellAnchor>
  <xdr:oneCellAnchor>
    <xdr:from>
      <xdr:col>15</xdr:col>
      <xdr:colOff>180975</xdr:colOff>
      <xdr:row>97</xdr:row>
      <xdr:rowOff>38100</xdr:rowOff>
    </xdr:from>
    <xdr:ext cx="373115" cy="311496"/>
    <xdr:sp macro="" textlink="">
      <xdr:nvSpPr>
        <xdr:cNvPr id="26" name="テキスト ボックス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 txBox="1"/>
      </xdr:nvSpPr>
      <xdr:spPr>
        <a:xfrm>
          <a:off x="3810000" y="15821025"/>
          <a:ext cx="373115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en-US" altLang="ja-JP" sz="1400"/>
            <a:t>R4</a:t>
          </a:r>
          <a:endParaRPr kumimoji="1" lang="ja-JP" altLang="en-US" sz="1400"/>
        </a:p>
      </xdr:txBody>
    </xdr:sp>
    <xdr:clientData/>
  </xdr:oneCellAnchor>
  <xdr:oneCellAnchor>
    <xdr:from>
      <xdr:col>15</xdr:col>
      <xdr:colOff>180975</xdr:colOff>
      <xdr:row>105</xdr:row>
      <xdr:rowOff>133350</xdr:rowOff>
    </xdr:from>
    <xdr:ext cx="373115" cy="311496"/>
    <xdr:sp macro="" textlink="">
      <xdr:nvSpPr>
        <xdr:cNvPr id="27" name="テキスト ボックス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 txBox="1"/>
      </xdr:nvSpPr>
      <xdr:spPr>
        <a:xfrm>
          <a:off x="3810000" y="17287875"/>
          <a:ext cx="373115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en-US" altLang="ja-JP" sz="1400"/>
            <a:t>R5</a:t>
          </a:r>
          <a:endParaRPr kumimoji="1" lang="ja-JP" altLang="en-US" sz="1400"/>
        </a:p>
      </xdr:txBody>
    </xdr:sp>
    <xdr:clientData/>
  </xdr:oneCellAnchor>
  <xdr:oneCellAnchor>
    <xdr:from>
      <xdr:col>15</xdr:col>
      <xdr:colOff>180975</xdr:colOff>
      <xdr:row>114</xdr:row>
      <xdr:rowOff>0</xdr:rowOff>
    </xdr:from>
    <xdr:ext cx="373115" cy="311496"/>
    <xdr:sp macro="" textlink="">
      <xdr:nvSpPr>
        <xdr:cNvPr id="28" name="テキスト ボックス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 txBox="1"/>
      </xdr:nvSpPr>
      <xdr:spPr>
        <a:xfrm>
          <a:off x="3810000" y="18697575"/>
          <a:ext cx="373115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en-US" altLang="ja-JP" sz="1400"/>
            <a:t>R6</a:t>
          </a:r>
          <a:endParaRPr kumimoji="1" lang="ja-JP" altLang="en-US" sz="1400"/>
        </a:p>
      </xdr:txBody>
    </xdr:sp>
    <xdr:clientData/>
  </xdr:oneCellAnchor>
  <xdr:oneCellAnchor>
    <xdr:from>
      <xdr:col>15</xdr:col>
      <xdr:colOff>38100</xdr:colOff>
      <xdr:row>124</xdr:row>
      <xdr:rowOff>95250</xdr:rowOff>
    </xdr:from>
    <xdr:ext cx="535211" cy="311496"/>
    <xdr:sp macro="" textlink="">
      <xdr:nvSpPr>
        <xdr:cNvPr id="30" name="テキスト ボックス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 txBox="1"/>
      </xdr:nvSpPr>
      <xdr:spPr>
        <a:xfrm>
          <a:off x="3667125" y="20678775"/>
          <a:ext cx="53521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en-US" altLang="ja-JP" sz="1400"/>
            <a:t>MAX</a:t>
          </a:r>
          <a:endParaRPr kumimoji="1" lang="ja-JP" altLang="en-US" sz="14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38100</xdr:colOff>
          <xdr:row>51</xdr:row>
          <xdr:rowOff>95250</xdr:rowOff>
        </xdr:from>
        <xdr:to>
          <xdr:col>26</xdr:col>
          <xdr:colOff>9525</xdr:colOff>
          <xdr:row>53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FF"/>
                  </a:solidFill>
                  <a:latin typeface="맑은 고딕"/>
                  <a:ea typeface="맑은 고딕"/>
                </a:rPr>
                <a:t>실행</a:t>
              </a:r>
            </a:p>
          </xdr:txBody>
        </xdr:sp>
        <xdr:clientData/>
      </xdr:twoCellAnchor>
    </mc:Choice>
    <mc:Fallback/>
  </mc:AlternateContent>
  <xdr:oneCellAnchor>
    <xdr:from>
      <xdr:col>18</xdr:col>
      <xdr:colOff>209550</xdr:colOff>
      <xdr:row>116</xdr:row>
      <xdr:rowOff>28576</xdr:rowOff>
    </xdr:from>
    <xdr:ext cx="3057525" cy="3257549"/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524375" y="23412451"/>
          <a:ext cx="3057525" cy="3257549"/>
        </a:xfrm>
        <a:prstGeom prst="rect">
          <a:avLst/>
        </a:prstGeom>
        <a:noFill/>
        <a:ln w="6350" cmpd="sng">
          <a:solidFill>
            <a:sysClr val="windowText" lastClr="000000"/>
          </a:solidFill>
          <a:prstDash val="soli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kumimoji="1" lang="en-US" altLang="ja-JP" sz="1100"/>
            <a:t>Sub defuzzy()</a:t>
          </a:r>
        </a:p>
        <a:p>
          <a:r>
            <a:rPr kumimoji="1" lang="en-US" altLang="ja-JP" sz="1100"/>
            <a:t>   Dim i, s, x, p As Integer</a:t>
          </a:r>
        </a:p>
        <a:p>
          <a:r>
            <a:rPr kumimoji="1" lang="en-US" altLang="ja-JP" sz="1100"/>
            <a:t>   s = 0</a:t>
          </a:r>
        </a:p>
        <a:p>
          <a:r>
            <a:rPr kumimoji="1" lang="en-US" altLang="ja-JP" sz="1100"/>
            <a:t>   For i = 0 To 20</a:t>
          </a:r>
        </a:p>
        <a:p>
          <a:r>
            <a:rPr kumimoji="1" lang="en-US" altLang="ja-JP" sz="1100"/>
            <a:t>      s = s + Cells(66, i + 12).Value </a:t>
          </a:r>
          <a:r>
            <a:rPr kumimoji="1" lang="ja-JP" altLang="en-US" sz="1100"/>
            <a:t>　　　’ </a:t>
          </a:r>
          <a:r>
            <a:rPr kumimoji="1" lang="en-US" altLang="ja-JP" sz="1100"/>
            <a:t>L66-AF66</a:t>
          </a:r>
          <a:endParaRPr kumimoji="1" lang="ja-JP" altLang="en-US" sz="1100"/>
        </a:p>
        <a:p>
          <a:r>
            <a:rPr kumimoji="1" lang="ja-JP" altLang="en-US" sz="1100"/>
            <a:t>   </a:t>
          </a:r>
          <a:r>
            <a:rPr kumimoji="1" lang="en-US" altLang="ja-JP" sz="1100"/>
            <a:t>Next i</a:t>
          </a:r>
        </a:p>
        <a:p>
          <a:r>
            <a:rPr kumimoji="1" lang="en-US" altLang="ja-JP" sz="1100"/>
            <a:t>   s = s / 2                  </a:t>
          </a:r>
          <a:r>
            <a:rPr kumimoji="1" lang="ja-JP" altLang="en-US" sz="1100"/>
            <a:t>　　</a:t>
          </a:r>
          <a:r>
            <a:rPr kumimoji="1" lang="en-US" altLang="ja-JP" sz="1100"/>
            <a:t>  ' </a:t>
          </a:r>
          <a:r>
            <a:rPr kumimoji="1" lang="ko-KR" altLang="en-US" sz="1100"/>
            <a:t>합성 함수 면적의 반</a:t>
          </a:r>
          <a:endParaRPr kumimoji="1" lang="ja-JP" altLang="en-US" sz="1100"/>
        </a:p>
        <a:p>
          <a:r>
            <a:rPr kumimoji="1" lang="ja-JP" altLang="en-US" sz="1100"/>
            <a:t>   </a:t>
          </a:r>
          <a:r>
            <a:rPr kumimoji="1" lang="en-US" altLang="ja-JP" sz="1100"/>
            <a:t>x = 0</a:t>
          </a:r>
        </a:p>
        <a:p>
          <a:r>
            <a:rPr kumimoji="1" lang="en-US" altLang="ja-JP" sz="1100"/>
            <a:t>   For i = 0 To 20</a:t>
          </a:r>
        </a:p>
        <a:p>
          <a:r>
            <a:rPr kumimoji="1" lang="en-US" altLang="ja-JP" sz="1100"/>
            <a:t>      x = x + Cells(66, i + 12).Value         ' </a:t>
          </a:r>
          <a:r>
            <a:rPr kumimoji="1" lang="ko-KR" altLang="en-US" sz="1100"/>
            <a:t>다시 합산</a:t>
          </a:r>
          <a:endParaRPr kumimoji="1" lang="ja-JP" altLang="en-US" sz="1100"/>
        </a:p>
        <a:p>
          <a:r>
            <a:rPr kumimoji="1" lang="ja-JP" altLang="en-US" sz="1100"/>
            <a:t>      </a:t>
          </a:r>
          <a:r>
            <a:rPr kumimoji="1" lang="en-US" altLang="ja-JP" sz="1100"/>
            <a:t>If x &gt;= s Then                                </a:t>
          </a:r>
          <a:endParaRPr kumimoji="1" lang="ja-JP" altLang="en-US" sz="1100"/>
        </a:p>
        <a:p>
          <a:r>
            <a:rPr kumimoji="1" lang="ja-JP" altLang="en-US" sz="1100"/>
            <a:t>        </a:t>
          </a:r>
          <a:r>
            <a:rPr kumimoji="1" lang="en-US" altLang="ja-JP" sz="1100"/>
            <a:t>Exit For</a:t>
          </a:r>
        </a:p>
        <a:p>
          <a:r>
            <a:rPr kumimoji="1" lang="en-US" altLang="ja-JP" sz="1100"/>
            <a:t>      End If</a:t>
          </a:r>
        </a:p>
        <a:p>
          <a:r>
            <a:rPr kumimoji="1" lang="en-US" altLang="ja-JP" sz="1100"/>
            <a:t>   Next i</a:t>
          </a:r>
        </a:p>
        <a:p>
          <a:r>
            <a:rPr kumimoji="1" lang="en-US" altLang="ja-JP" sz="1100"/>
            <a:t>   Cells(52, 29).Value = Cells(59, i + 12).Value </a:t>
          </a:r>
        </a:p>
        <a:p>
          <a:r>
            <a:rPr kumimoji="1" lang="ja-JP" altLang="en-US" sz="1100"/>
            <a:t>　　　</a:t>
          </a:r>
          <a:r>
            <a:rPr kumimoji="1" lang="en-US" altLang="ja-JP" sz="1100"/>
            <a:t>  ' </a:t>
          </a:r>
          <a:r>
            <a:rPr kumimoji="1" lang="ko-KR" altLang="en-US" sz="1100"/>
            <a:t>결과표시영역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AC52  &lt;- </a:t>
          </a:r>
          <a:r>
            <a:rPr kumimoji="1" lang="ko-KR" alt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제어값</a:t>
          </a:r>
          <a:r>
            <a:rPr kumimoji="1" lang="ja-JP" altLang="en-US" sz="1100"/>
            <a:t> </a:t>
          </a:r>
          <a:r>
            <a:rPr kumimoji="1" lang="en-US" altLang="ja-JP" sz="1100"/>
            <a:t>L59-AF59</a:t>
          </a:r>
        </a:p>
        <a:p>
          <a:r>
            <a:rPr kumimoji="1" lang="en-US" altLang="ja-JP" sz="1100"/>
            <a:t>End Sub</a:t>
          </a:r>
          <a:endParaRPr kumimoji="1" lang="ja-JP" altLang="en-US" sz="1100"/>
        </a:p>
      </xdr:txBody>
    </xdr:sp>
    <xdr:clientData/>
  </xdr:one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0.7977</cdr:x>
      <cdr:y>0.07255</cdr:y>
    </cdr:from>
    <cdr:to>
      <cdr:x>0.95133</cdr:x>
      <cdr:y>0.24065</cdr:y>
    </cdr:to>
    <cdr:sp macro="" textlink="">
      <cdr:nvSpPr>
        <cdr:cNvPr id="2" name="テキスト ボックス 5"/>
        <cdr:cNvSpPr txBox="1"/>
      </cdr:nvSpPr>
      <cdr:spPr>
        <a:xfrm xmlns:a="http://schemas.openxmlformats.org/drawingml/2006/main">
          <a:off x="2423792" y="145118"/>
          <a:ext cx="466794" cy="336246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kumimoji="1" lang="ko-KR" altLang="en-US" sz="1100"/>
            <a:t>습도</a:t>
          </a:r>
          <a:endParaRPr kumimoji="1" lang="ja-JP" altLang="en-US" sz="11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0.8885</cdr:x>
      <cdr:y>0.04955</cdr:y>
    </cdr:from>
    <cdr:to>
      <cdr:x>0.97814</cdr:x>
      <cdr:y>0.27052</cdr:y>
    </cdr:to>
    <cdr:sp macro="" textlink="">
      <cdr:nvSpPr>
        <cdr:cNvPr id="2" name="テキスト ボックス 23"/>
        <cdr:cNvSpPr txBox="1"/>
      </cdr:nvSpPr>
      <cdr:spPr>
        <a:xfrm xmlns:a="http://schemas.openxmlformats.org/drawingml/2006/main">
          <a:off x="3698324" y="69850"/>
          <a:ext cx="373115" cy="311496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kumimoji="1" lang="en-US" altLang="ja-JP" sz="1400"/>
            <a:t>R2</a:t>
          </a:r>
          <a:endParaRPr kumimoji="1" lang="ja-JP" altLang="en-US" sz="1400"/>
        </a:p>
      </cdr:txBody>
    </cdr:sp>
  </cdr:relSizeAnchor>
</c:userShape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F124"/>
  <sheetViews>
    <sheetView tabSelected="1" zoomScale="130" zoomScaleNormal="130" workbookViewId="0">
      <selection activeCell="Q51" sqref="Q51:S51"/>
    </sheetView>
  </sheetViews>
  <sheetFormatPr defaultRowHeight="16.5" x14ac:dyDescent="0.3"/>
  <cols>
    <col min="1" max="1" width="5.875" customWidth="1"/>
    <col min="2" max="6" width="3" customWidth="1"/>
    <col min="7" max="7" width="3.875" customWidth="1"/>
    <col min="8" max="31" width="3" customWidth="1"/>
    <col min="32" max="32" width="3.5" customWidth="1"/>
    <col min="33" max="33" width="2.75" customWidth="1"/>
  </cols>
  <sheetData>
    <row r="1" spans="1:32" ht="17.25" x14ac:dyDescent="0.3">
      <c r="A1" s="14" t="s">
        <v>40</v>
      </c>
      <c r="L1" t="s">
        <v>14</v>
      </c>
    </row>
    <row r="2" spans="1:32" s="14" customFormat="1" ht="17.25" x14ac:dyDescent="0.3">
      <c r="A2" s="14" t="s">
        <v>41</v>
      </c>
    </row>
    <row r="4" spans="1:32" x14ac:dyDescent="0.3">
      <c r="A4" t="s">
        <v>15</v>
      </c>
    </row>
    <row r="5" spans="1:32" s="1" customFormat="1" ht="11.25" x14ac:dyDescent="0.3">
      <c r="A5" s="4" t="s">
        <v>16</v>
      </c>
      <c r="B5" s="4">
        <v>10</v>
      </c>
      <c r="C5" s="4">
        <v>11</v>
      </c>
      <c r="D5" s="4">
        <v>12</v>
      </c>
      <c r="E5" s="4">
        <v>13</v>
      </c>
      <c r="F5" s="4">
        <v>14</v>
      </c>
      <c r="G5" s="4">
        <v>15</v>
      </c>
      <c r="H5" s="4">
        <v>16</v>
      </c>
      <c r="I5" s="4">
        <v>17</v>
      </c>
      <c r="J5" s="4">
        <v>18</v>
      </c>
      <c r="K5" s="4">
        <v>19</v>
      </c>
      <c r="L5" s="4">
        <v>20</v>
      </c>
      <c r="M5" s="4">
        <v>21</v>
      </c>
      <c r="N5" s="4">
        <v>22</v>
      </c>
      <c r="O5" s="4">
        <v>23</v>
      </c>
      <c r="P5" s="4">
        <v>24</v>
      </c>
      <c r="Q5" s="4">
        <v>25</v>
      </c>
      <c r="R5" s="4">
        <v>26</v>
      </c>
      <c r="S5" s="4">
        <v>27</v>
      </c>
      <c r="T5" s="4">
        <v>28</v>
      </c>
      <c r="U5" s="4">
        <v>29</v>
      </c>
      <c r="V5" s="4">
        <v>30</v>
      </c>
      <c r="W5" s="4">
        <v>31</v>
      </c>
      <c r="X5" s="4">
        <v>32</v>
      </c>
      <c r="Y5" s="4">
        <v>33</v>
      </c>
      <c r="Z5" s="4">
        <v>34</v>
      </c>
      <c r="AA5" s="4">
        <v>35</v>
      </c>
      <c r="AB5" s="4">
        <v>36</v>
      </c>
      <c r="AC5" s="4">
        <v>37</v>
      </c>
      <c r="AD5" s="4">
        <v>38</v>
      </c>
      <c r="AE5" s="4">
        <v>39</v>
      </c>
      <c r="AF5" s="4">
        <v>40</v>
      </c>
    </row>
    <row r="6" spans="1:32" s="1" customFormat="1" ht="11.25" x14ac:dyDescent="0.3">
      <c r="A6" s="2" t="s">
        <v>17</v>
      </c>
      <c r="B6" s="3">
        <v>1</v>
      </c>
      <c r="C6" s="3">
        <v>1</v>
      </c>
      <c r="D6" s="3">
        <v>1</v>
      </c>
      <c r="E6" s="3">
        <v>1</v>
      </c>
      <c r="F6" s="3">
        <v>1</v>
      </c>
      <c r="G6" s="3">
        <v>1</v>
      </c>
      <c r="H6" s="3">
        <v>0.9</v>
      </c>
      <c r="I6" s="3">
        <v>0.8</v>
      </c>
      <c r="J6" s="3">
        <v>0.7</v>
      </c>
      <c r="K6" s="3">
        <v>0.6</v>
      </c>
      <c r="L6" s="3">
        <v>0.5</v>
      </c>
      <c r="M6" s="3">
        <v>0.4</v>
      </c>
      <c r="N6" s="3">
        <v>0.3</v>
      </c>
      <c r="O6" s="3">
        <v>0.2</v>
      </c>
      <c r="P6" s="3">
        <v>0.1</v>
      </c>
      <c r="Q6" s="3">
        <v>0</v>
      </c>
      <c r="R6" s="3">
        <v>0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3">
        <v>0</v>
      </c>
      <c r="AB6" s="3">
        <v>0</v>
      </c>
      <c r="AC6" s="3">
        <v>0</v>
      </c>
      <c r="AD6" s="3">
        <v>0</v>
      </c>
      <c r="AE6" s="3">
        <v>0</v>
      </c>
      <c r="AF6" s="3">
        <v>0</v>
      </c>
    </row>
    <row r="7" spans="1:32" s="1" customFormat="1" ht="11.25" x14ac:dyDescent="0.3">
      <c r="A7" s="2" t="s">
        <v>18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M7" s="3">
        <v>0.1</v>
      </c>
      <c r="N7" s="3">
        <v>0.2</v>
      </c>
      <c r="O7" s="3">
        <v>0.3</v>
      </c>
      <c r="P7" s="3">
        <v>0.4</v>
      </c>
      <c r="Q7" s="3">
        <v>0.5</v>
      </c>
      <c r="R7" s="3">
        <v>0.6</v>
      </c>
      <c r="S7" s="3">
        <v>0.7</v>
      </c>
      <c r="T7" s="3">
        <v>0.8</v>
      </c>
      <c r="U7" s="3">
        <v>0.9</v>
      </c>
      <c r="V7" s="3">
        <v>1</v>
      </c>
      <c r="W7" s="3">
        <v>1</v>
      </c>
      <c r="X7" s="3">
        <v>1</v>
      </c>
      <c r="Y7" s="3">
        <v>1</v>
      </c>
      <c r="Z7" s="3">
        <v>1</v>
      </c>
      <c r="AA7" s="3">
        <v>1</v>
      </c>
      <c r="AB7" s="3">
        <v>1</v>
      </c>
      <c r="AC7" s="3">
        <v>1</v>
      </c>
      <c r="AD7" s="3">
        <v>1</v>
      </c>
      <c r="AE7" s="3">
        <v>1</v>
      </c>
      <c r="AF7" s="3">
        <v>1</v>
      </c>
    </row>
    <row r="9" spans="1:32" x14ac:dyDescent="0.3">
      <c r="A9" t="s">
        <v>19</v>
      </c>
    </row>
    <row r="10" spans="1:32" s="1" customFormat="1" ht="11.25" x14ac:dyDescent="0.3">
      <c r="A10" s="13" t="s">
        <v>20</v>
      </c>
      <c r="B10" s="13">
        <v>0</v>
      </c>
      <c r="C10" s="13">
        <v>5</v>
      </c>
      <c r="D10" s="13">
        <v>10</v>
      </c>
      <c r="E10" s="13">
        <v>15</v>
      </c>
      <c r="F10" s="13">
        <v>20</v>
      </c>
      <c r="G10" s="13">
        <v>25</v>
      </c>
      <c r="H10" s="13">
        <v>30</v>
      </c>
      <c r="I10" s="13">
        <v>35</v>
      </c>
      <c r="J10" s="13">
        <v>40</v>
      </c>
      <c r="K10" s="13">
        <v>45</v>
      </c>
      <c r="L10" s="13">
        <v>50</v>
      </c>
      <c r="M10" s="13">
        <v>55</v>
      </c>
      <c r="N10" s="13">
        <v>60</v>
      </c>
      <c r="O10" s="13">
        <v>65</v>
      </c>
      <c r="P10" s="13">
        <v>70</v>
      </c>
      <c r="Q10" s="13">
        <v>75</v>
      </c>
      <c r="R10" s="13">
        <v>80</v>
      </c>
      <c r="S10" s="13">
        <v>85</v>
      </c>
      <c r="T10" s="13">
        <v>90</v>
      </c>
      <c r="U10" s="13">
        <v>95</v>
      </c>
      <c r="V10" s="13">
        <v>100</v>
      </c>
      <c r="W10" s="8"/>
      <c r="X10" s="9"/>
      <c r="Y10" s="9"/>
      <c r="Z10" s="9"/>
      <c r="AA10" s="9"/>
      <c r="AB10" s="9"/>
      <c r="AC10" s="9"/>
      <c r="AD10" s="9"/>
      <c r="AE10" s="9"/>
      <c r="AF10" s="9"/>
    </row>
    <row r="11" spans="1:32" s="1" customFormat="1" ht="11.25" x14ac:dyDescent="0.3">
      <c r="A11" s="2" t="s">
        <v>17</v>
      </c>
      <c r="B11" s="3">
        <v>1</v>
      </c>
      <c r="C11" s="3">
        <v>1</v>
      </c>
      <c r="D11" s="3">
        <v>1</v>
      </c>
      <c r="E11" s="3">
        <v>1</v>
      </c>
      <c r="F11" s="3">
        <v>1</v>
      </c>
      <c r="G11" s="3">
        <v>1</v>
      </c>
      <c r="H11" s="3">
        <v>0.9</v>
      </c>
      <c r="I11" s="3">
        <v>0.8</v>
      </c>
      <c r="J11" s="3">
        <v>0.7</v>
      </c>
      <c r="K11" s="3">
        <v>0.6</v>
      </c>
      <c r="L11" s="3">
        <v>0.5</v>
      </c>
      <c r="M11" s="3">
        <v>0.4</v>
      </c>
      <c r="N11" s="3">
        <v>0.3</v>
      </c>
      <c r="O11" s="3">
        <v>0.2</v>
      </c>
      <c r="P11" s="3">
        <v>0.1</v>
      </c>
      <c r="Q11" s="3">
        <v>0</v>
      </c>
      <c r="R11" s="3">
        <v>0</v>
      </c>
      <c r="S11" s="3">
        <v>0</v>
      </c>
      <c r="T11" s="3">
        <v>0</v>
      </c>
      <c r="U11" s="3">
        <v>0</v>
      </c>
      <c r="V11" s="3">
        <v>0</v>
      </c>
      <c r="W11" s="6"/>
      <c r="X11" s="7"/>
      <c r="Y11" s="7"/>
      <c r="Z11" s="7"/>
      <c r="AA11" s="7"/>
      <c r="AB11" s="7"/>
      <c r="AC11" s="7"/>
      <c r="AD11" s="7"/>
      <c r="AE11" s="7"/>
      <c r="AF11" s="7"/>
    </row>
    <row r="12" spans="1:32" s="1" customFormat="1" ht="11.25" x14ac:dyDescent="0.3">
      <c r="A12" s="2" t="s">
        <v>18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0.1</v>
      </c>
      <c r="K12" s="3">
        <v>0.2</v>
      </c>
      <c r="L12" s="3">
        <v>0.3</v>
      </c>
      <c r="M12" s="3">
        <v>0.4</v>
      </c>
      <c r="N12" s="3">
        <v>0.5</v>
      </c>
      <c r="O12" s="3">
        <v>0.6</v>
      </c>
      <c r="P12" s="3">
        <v>0.7</v>
      </c>
      <c r="Q12" s="3">
        <v>0.8</v>
      </c>
      <c r="R12" s="3">
        <v>0.9</v>
      </c>
      <c r="S12" s="3">
        <v>1</v>
      </c>
      <c r="T12" s="3">
        <v>1</v>
      </c>
      <c r="U12" s="3">
        <v>1</v>
      </c>
      <c r="V12" s="3">
        <v>1</v>
      </c>
      <c r="W12" s="6"/>
      <c r="X12" s="7"/>
      <c r="Y12" s="7"/>
      <c r="Z12" s="7"/>
      <c r="AA12" s="7"/>
      <c r="AB12" s="7"/>
      <c r="AC12" s="7"/>
      <c r="AD12" s="7"/>
      <c r="AE12" s="7"/>
      <c r="AF12" s="7"/>
    </row>
    <row r="14" spans="1:32" x14ac:dyDescent="0.3">
      <c r="A14" t="s">
        <v>42</v>
      </c>
    </row>
    <row r="15" spans="1:32" s="1" customFormat="1" ht="11.25" x14ac:dyDescent="0.3">
      <c r="A15" s="5" t="s">
        <v>37</v>
      </c>
      <c r="B15" s="5">
        <v>0</v>
      </c>
      <c r="C15" s="5">
        <v>1</v>
      </c>
      <c r="D15" s="5">
        <v>2</v>
      </c>
      <c r="E15" s="5">
        <v>3</v>
      </c>
      <c r="F15" s="5">
        <v>4</v>
      </c>
      <c r="G15" s="5">
        <v>5</v>
      </c>
      <c r="H15" s="5">
        <v>6</v>
      </c>
      <c r="I15" s="5">
        <v>7</v>
      </c>
      <c r="J15" s="5">
        <v>8</v>
      </c>
      <c r="K15" s="5">
        <v>9</v>
      </c>
      <c r="L15" s="5">
        <v>10</v>
      </c>
      <c r="M15" s="8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</row>
    <row r="16" spans="1:32" s="1" customFormat="1" ht="11.25" x14ac:dyDescent="0.3">
      <c r="A16" s="2" t="s">
        <v>17</v>
      </c>
      <c r="B16" s="3">
        <v>1</v>
      </c>
      <c r="C16" s="3">
        <v>0.9</v>
      </c>
      <c r="D16" s="3">
        <v>0.8</v>
      </c>
      <c r="E16" s="3">
        <v>0.7</v>
      </c>
      <c r="F16" s="3">
        <v>0.6</v>
      </c>
      <c r="G16" s="3">
        <v>0.5</v>
      </c>
      <c r="H16" s="3">
        <v>0.4</v>
      </c>
      <c r="I16" s="3">
        <v>0.3</v>
      </c>
      <c r="J16" s="3">
        <v>0.2</v>
      </c>
      <c r="K16" s="3">
        <v>0.1</v>
      </c>
      <c r="L16" s="3">
        <v>0</v>
      </c>
      <c r="M16" s="10"/>
      <c r="N16" s="11"/>
      <c r="O16" s="11"/>
      <c r="P16" s="11"/>
      <c r="Q16" s="11"/>
      <c r="R16" s="11"/>
      <c r="S16" s="11"/>
      <c r="T16" s="11"/>
      <c r="U16" s="11"/>
      <c r="V16" s="11"/>
      <c r="W16" s="7"/>
      <c r="X16" s="7"/>
      <c r="Y16" s="7"/>
      <c r="Z16" s="7"/>
      <c r="AA16" s="7"/>
      <c r="AB16" s="7"/>
      <c r="AC16" s="7"/>
      <c r="AD16" s="7"/>
      <c r="AE16" s="7"/>
      <c r="AF16" s="7"/>
    </row>
    <row r="17" spans="1:32" s="1" customFormat="1" ht="11.25" x14ac:dyDescent="0.3">
      <c r="A17" s="2" t="s">
        <v>18</v>
      </c>
      <c r="B17" s="3">
        <v>0</v>
      </c>
      <c r="C17" s="3">
        <v>0.1</v>
      </c>
      <c r="D17" s="3">
        <v>0.2</v>
      </c>
      <c r="E17" s="3">
        <v>0.3</v>
      </c>
      <c r="F17" s="3">
        <v>0.4</v>
      </c>
      <c r="G17" s="3">
        <v>0.5</v>
      </c>
      <c r="H17" s="3">
        <v>0.6</v>
      </c>
      <c r="I17" s="3">
        <v>0.7</v>
      </c>
      <c r="J17" s="3">
        <v>0.8</v>
      </c>
      <c r="K17" s="3">
        <v>0.9</v>
      </c>
      <c r="L17" s="3">
        <v>1</v>
      </c>
      <c r="M17" s="10"/>
      <c r="N17" s="11"/>
      <c r="O17" s="11"/>
      <c r="P17" s="11"/>
      <c r="Q17" s="11"/>
      <c r="R17" s="11"/>
      <c r="S17" s="11"/>
      <c r="T17" s="11"/>
      <c r="U17" s="11"/>
      <c r="V17" s="11"/>
      <c r="W17" s="7"/>
      <c r="X17" s="7"/>
      <c r="Y17" s="7"/>
      <c r="Z17" s="7"/>
      <c r="AA17" s="7"/>
      <c r="AB17" s="7"/>
      <c r="AC17" s="7"/>
      <c r="AD17" s="7"/>
      <c r="AE17" s="7"/>
      <c r="AF17" s="7"/>
    </row>
    <row r="19" spans="1:32" x14ac:dyDescent="0.3">
      <c r="A19" t="s">
        <v>21</v>
      </c>
    </row>
    <row r="20" spans="1:32" s="1" customFormat="1" ht="11.25" x14ac:dyDescent="0.3">
      <c r="A20" s="20" t="s">
        <v>22</v>
      </c>
      <c r="B20" s="20">
        <v>-10</v>
      </c>
      <c r="C20" s="20">
        <v>-9</v>
      </c>
      <c r="D20" s="20">
        <v>-8</v>
      </c>
      <c r="E20" s="20">
        <v>-7</v>
      </c>
      <c r="F20" s="20">
        <v>-6</v>
      </c>
      <c r="G20" s="20">
        <v>-5</v>
      </c>
      <c r="H20" s="20">
        <v>-4</v>
      </c>
      <c r="I20" s="20">
        <v>-3</v>
      </c>
      <c r="J20" s="20">
        <v>-2</v>
      </c>
      <c r="K20" s="20">
        <v>-1</v>
      </c>
      <c r="L20" s="20">
        <v>0</v>
      </c>
      <c r="M20" s="20">
        <v>1</v>
      </c>
      <c r="N20" s="20">
        <v>2</v>
      </c>
      <c r="O20" s="20">
        <v>3</v>
      </c>
      <c r="P20" s="20">
        <v>4</v>
      </c>
      <c r="Q20" s="20">
        <v>5</v>
      </c>
      <c r="R20" s="20">
        <v>6</v>
      </c>
      <c r="S20" s="20">
        <v>7</v>
      </c>
      <c r="T20" s="20">
        <v>8</v>
      </c>
      <c r="U20" s="20">
        <v>9</v>
      </c>
      <c r="V20" s="20">
        <v>10</v>
      </c>
      <c r="W20" s="8"/>
      <c r="X20" s="9"/>
      <c r="Y20" s="9"/>
      <c r="Z20" s="9"/>
      <c r="AA20" s="9"/>
      <c r="AB20" s="9"/>
      <c r="AC20" s="9"/>
      <c r="AD20" s="9"/>
      <c r="AE20" s="9"/>
      <c r="AF20" s="9"/>
    </row>
    <row r="21" spans="1:32" s="1" customFormat="1" ht="11.25" x14ac:dyDescent="0.3">
      <c r="A21" s="2" t="s">
        <v>23</v>
      </c>
      <c r="B21" s="3">
        <v>1</v>
      </c>
      <c r="C21" s="3">
        <v>1</v>
      </c>
      <c r="D21" s="3">
        <v>1</v>
      </c>
      <c r="E21" s="3">
        <v>0.8</v>
      </c>
      <c r="F21" s="3">
        <v>0.6</v>
      </c>
      <c r="G21" s="3">
        <v>0.4</v>
      </c>
      <c r="H21" s="3">
        <v>0.2</v>
      </c>
      <c r="I21" s="3">
        <v>0</v>
      </c>
      <c r="J21" s="3">
        <v>0</v>
      </c>
      <c r="K21" s="3">
        <v>0</v>
      </c>
      <c r="L21" s="3">
        <v>0</v>
      </c>
      <c r="M21" s="3">
        <v>0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3">
        <v>0</v>
      </c>
      <c r="T21" s="3">
        <v>0</v>
      </c>
      <c r="U21" s="3">
        <v>0</v>
      </c>
      <c r="V21" s="3">
        <v>0</v>
      </c>
      <c r="W21" s="10"/>
      <c r="X21" s="11"/>
      <c r="Y21" s="11"/>
      <c r="Z21" s="11"/>
      <c r="AA21" s="11"/>
      <c r="AB21" s="11"/>
      <c r="AC21" s="11"/>
      <c r="AD21" s="11"/>
      <c r="AE21" s="11"/>
      <c r="AF21" s="11"/>
    </row>
    <row r="22" spans="1:32" s="1" customFormat="1" ht="11.25" x14ac:dyDescent="0.3">
      <c r="A22" s="2" t="s">
        <v>24</v>
      </c>
      <c r="B22" s="3">
        <v>0</v>
      </c>
      <c r="C22" s="3">
        <v>0.2</v>
      </c>
      <c r="D22" s="3">
        <v>0.4</v>
      </c>
      <c r="E22" s="3">
        <v>0.6</v>
      </c>
      <c r="F22" s="3">
        <v>0.8</v>
      </c>
      <c r="G22" s="3">
        <v>1</v>
      </c>
      <c r="H22" s="3">
        <v>1</v>
      </c>
      <c r="I22" s="3">
        <v>0.8</v>
      </c>
      <c r="J22" s="3">
        <v>0.6</v>
      </c>
      <c r="K22" s="3">
        <v>0.4</v>
      </c>
      <c r="L22" s="3">
        <v>0.2</v>
      </c>
      <c r="M22" s="3">
        <v>0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3">
        <v>0</v>
      </c>
      <c r="T22" s="3">
        <v>0</v>
      </c>
      <c r="U22" s="3">
        <v>0</v>
      </c>
      <c r="V22" s="3">
        <v>0</v>
      </c>
      <c r="W22" s="10"/>
      <c r="X22" s="11"/>
      <c r="Y22" s="11"/>
      <c r="Z22" s="11"/>
      <c r="AA22" s="11"/>
      <c r="AB22" s="11"/>
      <c r="AC22" s="11"/>
      <c r="AD22" s="11"/>
      <c r="AE22" s="11"/>
      <c r="AF22" s="11"/>
    </row>
    <row r="23" spans="1:32" s="1" customFormat="1" ht="11.25" x14ac:dyDescent="0.3">
      <c r="A23" s="2" t="s">
        <v>25</v>
      </c>
      <c r="B23" s="3">
        <v>0</v>
      </c>
      <c r="C23" s="3">
        <v>0</v>
      </c>
      <c r="D23" s="3">
        <v>0</v>
      </c>
      <c r="E23" s="3">
        <v>0</v>
      </c>
      <c r="F23" s="3">
        <v>0</v>
      </c>
      <c r="G23" s="3">
        <v>0</v>
      </c>
      <c r="H23" s="3">
        <v>0</v>
      </c>
      <c r="I23" s="3">
        <v>0</v>
      </c>
      <c r="J23" s="3">
        <v>0.2</v>
      </c>
      <c r="K23" s="3">
        <v>0.4</v>
      </c>
      <c r="L23" s="3">
        <v>0.6</v>
      </c>
      <c r="M23" s="3">
        <v>0.8</v>
      </c>
      <c r="N23" s="3">
        <v>1</v>
      </c>
      <c r="O23" s="3">
        <v>1</v>
      </c>
      <c r="P23" s="3">
        <v>0.8</v>
      </c>
      <c r="Q23" s="3">
        <v>0.6</v>
      </c>
      <c r="R23" s="3">
        <v>0.4</v>
      </c>
      <c r="S23" s="3">
        <v>0.2</v>
      </c>
      <c r="T23" s="3">
        <v>0</v>
      </c>
      <c r="U23" s="3">
        <v>0</v>
      </c>
      <c r="V23" s="3">
        <v>0</v>
      </c>
      <c r="W23" s="10"/>
      <c r="X23" s="11"/>
      <c r="Y23" s="11"/>
      <c r="Z23" s="11"/>
      <c r="AA23" s="11"/>
      <c r="AB23" s="11"/>
      <c r="AC23" s="11"/>
      <c r="AD23" s="11"/>
      <c r="AE23" s="11"/>
      <c r="AF23" s="11"/>
    </row>
    <row r="24" spans="1:32" s="1" customFormat="1" ht="11.25" x14ac:dyDescent="0.3">
      <c r="A24" s="2" t="s">
        <v>26</v>
      </c>
      <c r="B24" s="3">
        <v>0</v>
      </c>
      <c r="C24" s="3">
        <v>0</v>
      </c>
      <c r="D24" s="3">
        <v>0</v>
      </c>
      <c r="E24" s="3">
        <v>0</v>
      </c>
      <c r="F24" s="3">
        <v>0</v>
      </c>
      <c r="G24" s="3">
        <v>0</v>
      </c>
      <c r="H24" s="3">
        <v>0</v>
      </c>
      <c r="I24" s="3">
        <v>0</v>
      </c>
      <c r="J24" s="3">
        <v>0</v>
      </c>
      <c r="K24" s="3">
        <v>0</v>
      </c>
      <c r="L24" s="3">
        <v>0</v>
      </c>
      <c r="M24" s="3">
        <v>0</v>
      </c>
      <c r="N24" s="3">
        <v>0</v>
      </c>
      <c r="O24" s="3">
        <v>0</v>
      </c>
      <c r="P24" s="3">
        <v>0.2</v>
      </c>
      <c r="Q24" s="3">
        <v>0.4</v>
      </c>
      <c r="R24" s="3">
        <v>0.6</v>
      </c>
      <c r="S24" s="3">
        <v>0.8</v>
      </c>
      <c r="T24" s="3">
        <v>1</v>
      </c>
      <c r="U24" s="3">
        <v>1</v>
      </c>
      <c r="V24" s="3">
        <v>1</v>
      </c>
      <c r="W24" s="10"/>
      <c r="X24" s="11"/>
      <c r="Y24" s="11"/>
      <c r="Z24" s="11"/>
      <c r="AA24" s="11"/>
      <c r="AB24" s="11"/>
      <c r="AC24" s="11"/>
      <c r="AD24" s="11"/>
      <c r="AE24" s="11"/>
      <c r="AF24" s="11"/>
    </row>
    <row r="25" spans="1:32" s="1" customFormat="1" ht="11.25" x14ac:dyDescent="0.3">
      <c r="A25" s="12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7"/>
      <c r="X25" s="7"/>
      <c r="Y25" s="7"/>
      <c r="Z25" s="7"/>
      <c r="AA25" s="7"/>
      <c r="AB25" s="7"/>
      <c r="AC25" s="7"/>
      <c r="AD25" s="7"/>
      <c r="AE25" s="7"/>
      <c r="AF25" s="7"/>
    </row>
    <row r="48" ht="17.25" thickBot="1" x14ac:dyDescent="0.35"/>
    <row r="49" spans="1:32" s="14" customFormat="1" ht="17.25" x14ac:dyDescent="0.3">
      <c r="A49" s="14" t="s">
        <v>0</v>
      </c>
      <c r="N49" s="24" t="s">
        <v>27</v>
      </c>
      <c r="O49" s="25"/>
      <c r="P49" s="25"/>
      <c r="Q49" s="25"/>
      <c r="R49" s="32" t="s">
        <v>39</v>
      </c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6"/>
    </row>
    <row r="50" spans="1:32" x14ac:dyDescent="0.3">
      <c r="A50" s="15"/>
      <c r="B50" s="18" t="s">
        <v>15</v>
      </c>
      <c r="C50" s="19"/>
      <c r="D50" s="19" t="s">
        <v>19</v>
      </c>
      <c r="E50" s="19"/>
      <c r="F50" s="19" t="s">
        <v>37</v>
      </c>
      <c r="G50" s="19"/>
      <c r="H50" s="19" t="s">
        <v>22</v>
      </c>
      <c r="I50" s="19"/>
      <c r="J50" s="17"/>
      <c r="N50" s="27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8"/>
    </row>
    <row r="51" spans="1:32" ht="17.25" thickBot="1" x14ac:dyDescent="0.35">
      <c r="A51" s="15" t="s">
        <v>1</v>
      </c>
      <c r="B51" s="15" t="s">
        <v>18</v>
      </c>
      <c r="C51" s="15"/>
      <c r="D51" s="15" t="s">
        <v>18</v>
      </c>
      <c r="E51" s="15"/>
      <c r="F51" s="15" t="s">
        <v>18</v>
      </c>
      <c r="G51" s="15"/>
      <c r="H51" s="15" t="s">
        <v>24</v>
      </c>
      <c r="I51" s="15"/>
      <c r="J51" s="17"/>
      <c r="N51" s="27" t="s">
        <v>15</v>
      </c>
      <c r="O51" s="23"/>
      <c r="P51" s="23"/>
      <c r="Q51" s="35">
        <v>28</v>
      </c>
      <c r="R51" s="36"/>
      <c r="S51" s="37"/>
      <c r="T51" s="23" t="s">
        <v>9</v>
      </c>
      <c r="U51" s="23"/>
      <c r="V51" s="23"/>
      <c r="W51" s="23"/>
      <c r="X51" s="23"/>
      <c r="Y51" s="23"/>
      <c r="Z51" s="23"/>
      <c r="AA51" s="23"/>
      <c r="AB51" s="23"/>
      <c r="AC51" s="33" t="s">
        <v>28</v>
      </c>
      <c r="AD51" s="23"/>
      <c r="AE51" s="23"/>
      <c r="AF51" s="28"/>
    </row>
    <row r="52" spans="1:32" x14ac:dyDescent="0.3">
      <c r="A52" s="15" t="s">
        <v>2</v>
      </c>
      <c r="B52" s="15" t="s">
        <v>18</v>
      </c>
      <c r="C52" s="15"/>
      <c r="D52" s="15" t="s">
        <v>18</v>
      </c>
      <c r="E52" s="15"/>
      <c r="F52" s="15" t="s">
        <v>17</v>
      </c>
      <c r="G52" s="15"/>
      <c r="H52" s="15" t="s">
        <v>23</v>
      </c>
      <c r="I52" s="15"/>
      <c r="J52" s="17"/>
      <c r="N52" s="27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48">
        <v>-6</v>
      </c>
      <c r="AD52" s="49"/>
      <c r="AE52" s="50"/>
      <c r="AF52" s="28"/>
    </row>
    <row r="53" spans="1:32" x14ac:dyDescent="0.3">
      <c r="A53" s="15" t="s">
        <v>3</v>
      </c>
      <c r="B53" s="15" t="s">
        <v>18</v>
      </c>
      <c r="C53" s="15"/>
      <c r="D53" s="15" t="s">
        <v>17</v>
      </c>
      <c r="E53" s="15"/>
      <c r="F53" s="16" t="s">
        <v>7</v>
      </c>
      <c r="G53" s="15"/>
      <c r="H53" s="15" t="s">
        <v>24</v>
      </c>
      <c r="I53" s="15"/>
      <c r="J53" s="17"/>
      <c r="N53" s="27" t="s">
        <v>19</v>
      </c>
      <c r="O53" s="23"/>
      <c r="P53" s="23"/>
      <c r="Q53" s="35">
        <v>65</v>
      </c>
      <c r="R53" s="36"/>
      <c r="S53" s="37"/>
      <c r="T53" s="23" t="s">
        <v>10</v>
      </c>
      <c r="U53" s="23"/>
      <c r="V53" s="23"/>
      <c r="W53" s="23"/>
      <c r="X53" s="44" t="s">
        <v>13</v>
      </c>
      <c r="Y53" s="45"/>
      <c r="Z53" s="23"/>
      <c r="AA53" s="23"/>
      <c r="AC53" s="51"/>
      <c r="AD53" s="52"/>
      <c r="AE53" s="53"/>
      <c r="AF53" s="28"/>
    </row>
    <row r="54" spans="1:32" ht="17.25" thickBot="1" x14ac:dyDescent="0.35">
      <c r="A54" s="15" t="s">
        <v>4</v>
      </c>
      <c r="B54" s="15" t="s">
        <v>17</v>
      </c>
      <c r="C54" s="15"/>
      <c r="D54" s="15" t="s">
        <v>18</v>
      </c>
      <c r="E54" s="15"/>
      <c r="F54" s="16" t="s">
        <v>8</v>
      </c>
      <c r="G54" s="15"/>
      <c r="H54" s="15" t="s">
        <v>25</v>
      </c>
      <c r="I54" s="15"/>
      <c r="J54" s="17"/>
      <c r="N54" s="27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54"/>
      <c r="AD54" s="55"/>
      <c r="AE54" s="56"/>
      <c r="AF54" s="28"/>
    </row>
    <row r="55" spans="1:32" x14ac:dyDescent="0.3">
      <c r="A55" s="15" t="s">
        <v>5</v>
      </c>
      <c r="B55" s="15" t="s">
        <v>17</v>
      </c>
      <c r="C55" s="15"/>
      <c r="D55" s="15" t="s">
        <v>17</v>
      </c>
      <c r="E55" s="15"/>
      <c r="F55" s="15" t="s">
        <v>18</v>
      </c>
      <c r="G55" s="15"/>
      <c r="H55" s="15" t="s">
        <v>25</v>
      </c>
      <c r="I55" s="15"/>
      <c r="J55" s="17"/>
      <c r="N55" s="27" t="s">
        <v>37</v>
      </c>
      <c r="O55" s="23"/>
      <c r="P55" s="23"/>
      <c r="Q55" s="35">
        <v>4</v>
      </c>
      <c r="R55" s="36"/>
      <c r="S55" s="37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8"/>
    </row>
    <row r="56" spans="1:32" ht="17.25" thickBot="1" x14ac:dyDescent="0.35">
      <c r="A56" s="15" t="s">
        <v>6</v>
      </c>
      <c r="B56" s="15" t="s">
        <v>17</v>
      </c>
      <c r="C56" s="15"/>
      <c r="D56" s="15" t="s">
        <v>17</v>
      </c>
      <c r="E56" s="15"/>
      <c r="F56" s="15" t="s">
        <v>17</v>
      </c>
      <c r="G56" s="15"/>
      <c r="H56" s="15" t="s">
        <v>26</v>
      </c>
      <c r="I56" s="15"/>
      <c r="J56" s="17"/>
      <c r="N56" s="29"/>
      <c r="O56" s="30"/>
      <c r="P56" s="30"/>
      <c r="Q56" s="30"/>
      <c r="R56" s="30"/>
      <c r="S56" s="30"/>
      <c r="T56" s="30"/>
      <c r="U56" s="30"/>
      <c r="V56" s="30"/>
      <c r="W56" s="30"/>
      <c r="X56" s="30"/>
      <c r="Y56" s="30"/>
      <c r="Z56" s="30"/>
      <c r="AA56" s="30"/>
      <c r="AB56" s="30"/>
      <c r="AC56" s="30"/>
      <c r="AD56" s="30"/>
      <c r="AE56" s="30"/>
      <c r="AF56" s="31"/>
    </row>
    <row r="58" spans="1:32" ht="17.25" x14ac:dyDescent="0.3">
      <c r="A58" s="14" t="s">
        <v>29</v>
      </c>
      <c r="L58" t="s">
        <v>30</v>
      </c>
    </row>
    <row r="59" spans="1:32" x14ac:dyDescent="0.3">
      <c r="A59" s="15"/>
      <c r="B59" s="18" t="s">
        <v>15</v>
      </c>
      <c r="C59" s="19"/>
      <c r="D59" s="19" t="s">
        <v>19</v>
      </c>
      <c r="E59" s="19"/>
      <c r="F59" s="19" t="s">
        <v>37</v>
      </c>
      <c r="G59" s="19"/>
      <c r="H59" s="57" t="s">
        <v>11</v>
      </c>
      <c r="I59" s="58"/>
      <c r="J59" s="42" t="s">
        <v>22</v>
      </c>
      <c r="K59" s="43"/>
      <c r="L59" s="20">
        <v>-10</v>
      </c>
      <c r="M59" s="20">
        <v>-9</v>
      </c>
      <c r="N59" s="20">
        <v>-8</v>
      </c>
      <c r="O59" s="20">
        <v>-7</v>
      </c>
      <c r="P59" s="20">
        <v>-6</v>
      </c>
      <c r="Q59" s="20">
        <v>-5</v>
      </c>
      <c r="R59" s="20">
        <v>-4</v>
      </c>
      <c r="S59" s="20">
        <v>-3</v>
      </c>
      <c r="T59" s="20">
        <v>-2</v>
      </c>
      <c r="U59" s="20">
        <v>-1</v>
      </c>
      <c r="V59" s="20">
        <v>0</v>
      </c>
      <c r="W59" s="20">
        <v>1</v>
      </c>
      <c r="X59" s="20">
        <v>2</v>
      </c>
      <c r="Y59" s="20">
        <v>3</v>
      </c>
      <c r="Z59" s="20">
        <v>4</v>
      </c>
      <c r="AA59" s="20">
        <v>5</v>
      </c>
      <c r="AB59" s="20">
        <v>6</v>
      </c>
      <c r="AC59" s="20">
        <v>7</v>
      </c>
      <c r="AD59" s="20">
        <v>8</v>
      </c>
      <c r="AE59" s="20">
        <v>9</v>
      </c>
      <c r="AF59" s="20">
        <v>10</v>
      </c>
    </row>
    <row r="60" spans="1:32" x14ac:dyDescent="0.3">
      <c r="A60" s="15" t="s">
        <v>1</v>
      </c>
      <c r="B60" s="38">
        <f>HLOOKUP(MAX(10,$Q$51),$B$5:$AF$7,3,TRUE)</f>
        <v>0.8</v>
      </c>
      <c r="C60" s="39"/>
      <c r="D60" s="38">
        <f>HLOOKUP(MAX(0,$Q$53),$B$10:$V$12,3,TRUE)</f>
        <v>0.6</v>
      </c>
      <c r="E60" s="39"/>
      <c r="F60" s="38">
        <f>HLOOKUP(MAX(0,$Q$55),$B$15:$L$17,3,TRUE)</f>
        <v>0.4</v>
      </c>
      <c r="G60" s="39"/>
      <c r="H60" s="40">
        <f>MIN(B60:G60)</f>
        <v>0.4</v>
      </c>
      <c r="I60" s="41"/>
      <c r="J60" s="18" t="s">
        <v>24</v>
      </c>
      <c r="K60" s="21"/>
      <c r="L60" s="3">
        <f t="shared" ref="L60:AF60" si="0">MIN(B22,$H60)</f>
        <v>0</v>
      </c>
      <c r="M60" s="3">
        <f t="shared" si="0"/>
        <v>0.2</v>
      </c>
      <c r="N60" s="3">
        <f t="shared" si="0"/>
        <v>0.4</v>
      </c>
      <c r="O60" s="3">
        <f t="shared" si="0"/>
        <v>0.4</v>
      </c>
      <c r="P60" s="3">
        <f t="shared" si="0"/>
        <v>0.4</v>
      </c>
      <c r="Q60" s="3">
        <f t="shared" si="0"/>
        <v>0.4</v>
      </c>
      <c r="R60" s="3">
        <f t="shared" si="0"/>
        <v>0.4</v>
      </c>
      <c r="S60" s="3">
        <f t="shared" si="0"/>
        <v>0.4</v>
      </c>
      <c r="T60" s="3">
        <f t="shared" si="0"/>
        <v>0.4</v>
      </c>
      <c r="U60" s="3">
        <f t="shared" si="0"/>
        <v>0.4</v>
      </c>
      <c r="V60" s="3">
        <f t="shared" si="0"/>
        <v>0.2</v>
      </c>
      <c r="W60" s="3">
        <f t="shared" si="0"/>
        <v>0</v>
      </c>
      <c r="X60" s="3">
        <f t="shared" si="0"/>
        <v>0</v>
      </c>
      <c r="Y60" s="3">
        <f t="shared" si="0"/>
        <v>0</v>
      </c>
      <c r="Z60" s="3">
        <f t="shared" si="0"/>
        <v>0</v>
      </c>
      <c r="AA60" s="3">
        <f t="shared" si="0"/>
        <v>0</v>
      </c>
      <c r="AB60" s="3">
        <f t="shared" si="0"/>
        <v>0</v>
      </c>
      <c r="AC60" s="3">
        <f t="shared" si="0"/>
        <v>0</v>
      </c>
      <c r="AD60" s="3">
        <f t="shared" si="0"/>
        <v>0</v>
      </c>
      <c r="AE60" s="3">
        <f t="shared" si="0"/>
        <v>0</v>
      </c>
      <c r="AF60" s="3">
        <f t="shared" si="0"/>
        <v>0</v>
      </c>
    </row>
    <row r="61" spans="1:32" x14ac:dyDescent="0.3">
      <c r="A61" s="15" t="s">
        <v>2</v>
      </c>
      <c r="B61" s="38">
        <f t="shared" ref="B61:B62" si="1">HLOOKUP(MAX(10,$Q$51),$B$5:$AF$7,3,TRUE)</f>
        <v>0.8</v>
      </c>
      <c r="C61" s="39"/>
      <c r="D61" s="38">
        <f>HLOOKUP(MAX(0,$Q$53),$B$10:$V$12,3,TRUE)</f>
        <v>0.6</v>
      </c>
      <c r="E61" s="39"/>
      <c r="F61" s="38">
        <f>HLOOKUP(MAX(0,$Q$55),$B$15:$L$17,2,TRUE)</f>
        <v>0.6</v>
      </c>
      <c r="G61" s="39"/>
      <c r="H61" s="40">
        <f t="shared" ref="H61:H65" si="2">MIN(B61:G61)</f>
        <v>0.6</v>
      </c>
      <c r="I61" s="41"/>
      <c r="J61" s="19" t="s">
        <v>23</v>
      </c>
      <c r="K61" s="21"/>
      <c r="L61" s="3">
        <f t="shared" ref="L61:U63" si="3">MIN(B21,$H61)</f>
        <v>0.6</v>
      </c>
      <c r="M61" s="3">
        <f t="shared" si="3"/>
        <v>0.6</v>
      </c>
      <c r="N61" s="3">
        <f t="shared" si="3"/>
        <v>0.6</v>
      </c>
      <c r="O61" s="3">
        <f t="shared" si="3"/>
        <v>0.6</v>
      </c>
      <c r="P61" s="3">
        <f t="shared" si="3"/>
        <v>0.6</v>
      </c>
      <c r="Q61" s="3">
        <f t="shared" si="3"/>
        <v>0.4</v>
      </c>
      <c r="R61" s="3">
        <f t="shared" si="3"/>
        <v>0.2</v>
      </c>
      <c r="S61" s="3">
        <f t="shared" si="3"/>
        <v>0</v>
      </c>
      <c r="T61" s="3">
        <f t="shared" si="3"/>
        <v>0</v>
      </c>
      <c r="U61" s="3">
        <f t="shared" si="3"/>
        <v>0</v>
      </c>
      <c r="V61" s="3">
        <f t="shared" ref="V61:AE63" si="4">MIN(L21,$H61)</f>
        <v>0</v>
      </c>
      <c r="W61" s="3">
        <f t="shared" si="4"/>
        <v>0</v>
      </c>
      <c r="X61" s="3">
        <f t="shared" si="4"/>
        <v>0</v>
      </c>
      <c r="Y61" s="3">
        <f t="shared" si="4"/>
        <v>0</v>
      </c>
      <c r="Z61" s="3">
        <f t="shared" si="4"/>
        <v>0</v>
      </c>
      <c r="AA61" s="3">
        <f t="shared" si="4"/>
        <v>0</v>
      </c>
      <c r="AB61" s="3">
        <f t="shared" si="4"/>
        <v>0</v>
      </c>
      <c r="AC61" s="3">
        <f t="shared" si="4"/>
        <v>0</v>
      </c>
      <c r="AD61" s="3">
        <f t="shared" si="4"/>
        <v>0</v>
      </c>
      <c r="AE61" s="3">
        <f t="shared" si="4"/>
        <v>0</v>
      </c>
      <c r="AF61" s="3">
        <f t="shared" ref="AF61:AF63" si="5">MIN(V21,$H61)</f>
        <v>0</v>
      </c>
    </row>
    <row r="62" spans="1:32" x14ac:dyDescent="0.3">
      <c r="A62" s="15" t="s">
        <v>3</v>
      </c>
      <c r="B62" s="38">
        <f t="shared" si="1"/>
        <v>0.8</v>
      </c>
      <c r="C62" s="39"/>
      <c r="D62" s="38">
        <f t="shared" ref="D62:D65" si="6">HLOOKUP(MAX(0,$Q$53),$B$10:$V$12,2,TRUE)</f>
        <v>0.2</v>
      </c>
      <c r="E62" s="39"/>
      <c r="F62" s="38">
        <v>1</v>
      </c>
      <c r="G62" s="39"/>
      <c r="H62" s="40">
        <f t="shared" si="2"/>
        <v>0.2</v>
      </c>
      <c r="I62" s="41"/>
      <c r="J62" s="19" t="s">
        <v>24</v>
      </c>
      <c r="K62" s="21"/>
      <c r="L62" s="3">
        <f t="shared" si="3"/>
        <v>0</v>
      </c>
      <c r="M62" s="3">
        <f t="shared" si="3"/>
        <v>0.2</v>
      </c>
      <c r="N62" s="3">
        <f t="shared" si="3"/>
        <v>0.2</v>
      </c>
      <c r="O62" s="3">
        <f t="shared" si="3"/>
        <v>0.2</v>
      </c>
      <c r="P62" s="3">
        <f t="shared" si="3"/>
        <v>0.2</v>
      </c>
      <c r="Q62" s="3">
        <f t="shared" si="3"/>
        <v>0.2</v>
      </c>
      <c r="R62" s="3">
        <f t="shared" si="3"/>
        <v>0.2</v>
      </c>
      <c r="S62" s="3">
        <f t="shared" si="3"/>
        <v>0.2</v>
      </c>
      <c r="T62" s="3">
        <f t="shared" si="3"/>
        <v>0.2</v>
      </c>
      <c r="U62" s="3">
        <f t="shared" si="3"/>
        <v>0.2</v>
      </c>
      <c r="V62" s="3">
        <f t="shared" si="4"/>
        <v>0.2</v>
      </c>
      <c r="W62" s="3">
        <f t="shared" si="4"/>
        <v>0</v>
      </c>
      <c r="X62" s="3">
        <f t="shared" si="4"/>
        <v>0</v>
      </c>
      <c r="Y62" s="3">
        <f t="shared" si="4"/>
        <v>0</v>
      </c>
      <c r="Z62" s="3">
        <f t="shared" si="4"/>
        <v>0</v>
      </c>
      <c r="AA62" s="3">
        <f t="shared" si="4"/>
        <v>0</v>
      </c>
      <c r="AB62" s="3">
        <f t="shared" si="4"/>
        <v>0</v>
      </c>
      <c r="AC62" s="3">
        <f t="shared" si="4"/>
        <v>0</v>
      </c>
      <c r="AD62" s="3">
        <f t="shared" si="4"/>
        <v>0</v>
      </c>
      <c r="AE62" s="3">
        <f t="shared" si="4"/>
        <v>0</v>
      </c>
      <c r="AF62" s="3">
        <f t="shared" si="5"/>
        <v>0</v>
      </c>
    </row>
    <row r="63" spans="1:32" x14ac:dyDescent="0.3">
      <c r="A63" s="15" t="s">
        <v>4</v>
      </c>
      <c r="B63" s="38">
        <f>HLOOKUP(MAX(10,$Q$51),$B$5:$AF$7,2,TRUE)</f>
        <v>0</v>
      </c>
      <c r="C63" s="39"/>
      <c r="D63" s="38">
        <f>HLOOKUP(MAX(0,$Q$53),$B$10:$V$12,3,TRUE)</f>
        <v>0.6</v>
      </c>
      <c r="E63" s="39"/>
      <c r="F63" s="38">
        <v>1</v>
      </c>
      <c r="G63" s="39"/>
      <c r="H63" s="40">
        <f t="shared" si="2"/>
        <v>0</v>
      </c>
      <c r="I63" s="41"/>
      <c r="J63" s="19" t="s">
        <v>25</v>
      </c>
      <c r="K63" s="21"/>
      <c r="L63" s="3">
        <f t="shared" si="3"/>
        <v>0</v>
      </c>
      <c r="M63" s="3">
        <f t="shared" si="3"/>
        <v>0</v>
      </c>
      <c r="N63" s="3">
        <f t="shared" si="3"/>
        <v>0</v>
      </c>
      <c r="O63" s="3">
        <f t="shared" si="3"/>
        <v>0</v>
      </c>
      <c r="P63" s="3">
        <f t="shared" si="3"/>
        <v>0</v>
      </c>
      <c r="Q63" s="3">
        <f t="shared" si="3"/>
        <v>0</v>
      </c>
      <c r="R63" s="3">
        <f t="shared" si="3"/>
        <v>0</v>
      </c>
      <c r="S63" s="3">
        <f t="shared" si="3"/>
        <v>0</v>
      </c>
      <c r="T63" s="3">
        <f t="shared" si="3"/>
        <v>0</v>
      </c>
      <c r="U63" s="3">
        <f t="shared" si="3"/>
        <v>0</v>
      </c>
      <c r="V63" s="3">
        <f t="shared" si="4"/>
        <v>0</v>
      </c>
      <c r="W63" s="3">
        <f t="shared" si="4"/>
        <v>0</v>
      </c>
      <c r="X63" s="3">
        <f t="shared" si="4"/>
        <v>0</v>
      </c>
      <c r="Y63" s="3">
        <f t="shared" si="4"/>
        <v>0</v>
      </c>
      <c r="Z63" s="3">
        <f t="shared" si="4"/>
        <v>0</v>
      </c>
      <c r="AA63" s="3">
        <f t="shared" si="4"/>
        <v>0</v>
      </c>
      <c r="AB63" s="3">
        <f t="shared" si="4"/>
        <v>0</v>
      </c>
      <c r="AC63" s="3">
        <f t="shared" si="4"/>
        <v>0</v>
      </c>
      <c r="AD63" s="3">
        <f t="shared" si="4"/>
        <v>0</v>
      </c>
      <c r="AE63" s="3">
        <f t="shared" si="4"/>
        <v>0</v>
      </c>
      <c r="AF63" s="3">
        <f t="shared" si="5"/>
        <v>0</v>
      </c>
    </row>
    <row r="64" spans="1:32" x14ac:dyDescent="0.3">
      <c r="A64" s="15" t="s">
        <v>5</v>
      </c>
      <c r="B64" s="38">
        <f t="shared" ref="B64:B65" si="7">HLOOKUP(MAX(10,$Q$51),$B$5:$AF$7,2,TRUE)</f>
        <v>0</v>
      </c>
      <c r="C64" s="39"/>
      <c r="D64" s="38">
        <f t="shared" si="6"/>
        <v>0.2</v>
      </c>
      <c r="E64" s="39"/>
      <c r="F64" s="38">
        <f>HLOOKUP(MAX(0,$Q$55),$B$15:$L$17,3,TRUE)</f>
        <v>0.4</v>
      </c>
      <c r="G64" s="39"/>
      <c r="H64" s="40">
        <f t="shared" si="2"/>
        <v>0</v>
      </c>
      <c r="I64" s="41"/>
      <c r="J64" s="19" t="s">
        <v>25</v>
      </c>
      <c r="K64" s="21"/>
      <c r="L64" s="3">
        <f t="shared" ref="L64:U65" si="8">MIN(B23,$H64)</f>
        <v>0</v>
      </c>
      <c r="M64" s="3">
        <f t="shared" si="8"/>
        <v>0</v>
      </c>
      <c r="N64" s="3">
        <f t="shared" si="8"/>
        <v>0</v>
      </c>
      <c r="O64" s="3">
        <f t="shared" si="8"/>
        <v>0</v>
      </c>
      <c r="P64" s="3">
        <f t="shared" si="8"/>
        <v>0</v>
      </c>
      <c r="Q64" s="3">
        <f t="shared" si="8"/>
        <v>0</v>
      </c>
      <c r="R64" s="3">
        <f t="shared" si="8"/>
        <v>0</v>
      </c>
      <c r="S64" s="3">
        <f t="shared" si="8"/>
        <v>0</v>
      </c>
      <c r="T64" s="3">
        <f t="shared" si="8"/>
        <v>0</v>
      </c>
      <c r="U64" s="3">
        <f t="shared" si="8"/>
        <v>0</v>
      </c>
      <c r="V64" s="3">
        <f t="shared" ref="V64:AE65" si="9">MIN(L23,$H64)</f>
        <v>0</v>
      </c>
      <c r="W64" s="3">
        <f t="shared" si="9"/>
        <v>0</v>
      </c>
      <c r="X64" s="3">
        <f t="shared" si="9"/>
        <v>0</v>
      </c>
      <c r="Y64" s="3">
        <f t="shared" si="9"/>
        <v>0</v>
      </c>
      <c r="Z64" s="3">
        <f t="shared" si="9"/>
        <v>0</v>
      </c>
      <c r="AA64" s="3">
        <f t="shared" si="9"/>
        <v>0</v>
      </c>
      <c r="AB64" s="3">
        <f t="shared" si="9"/>
        <v>0</v>
      </c>
      <c r="AC64" s="3">
        <f t="shared" si="9"/>
        <v>0</v>
      </c>
      <c r="AD64" s="3">
        <f t="shared" si="9"/>
        <v>0</v>
      </c>
      <c r="AE64" s="3">
        <f t="shared" si="9"/>
        <v>0</v>
      </c>
      <c r="AF64" s="3">
        <f t="shared" ref="AF64:AF65" si="10">MIN(V23,$H64)</f>
        <v>0</v>
      </c>
    </row>
    <row r="65" spans="1:32" x14ac:dyDescent="0.3">
      <c r="A65" s="15" t="s">
        <v>6</v>
      </c>
      <c r="B65" s="38">
        <f t="shared" si="7"/>
        <v>0</v>
      </c>
      <c r="C65" s="39"/>
      <c r="D65" s="38">
        <f t="shared" si="6"/>
        <v>0.2</v>
      </c>
      <c r="E65" s="39"/>
      <c r="F65" s="38">
        <f>HLOOKUP(MAX(0,$Q$55),$B$15:$L$17,2,TRUE)</f>
        <v>0.6</v>
      </c>
      <c r="G65" s="39"/>
      <c r="H65" s="40">
        <f t="shared" si="2"/>
        <v>0</v>
      </c>
      <c r="I65" s="41"/>
      <c r="J65" s="19" t="s">
        <v>26</v>
      </c>
      <c r="K65" s="21"/>
      <c r="L65" s="3">
        <f t="shared" si="8"/>
        <v>0</v>
      </c>
      <c r="M65" s="3">
        <f t="shared" si="8"/>
        <v>0</v>
      </c>
      <c r="N65" s="3">
        <f t="shared" si="8"/>
        <v>0</v>
      </c>
      <c r="O65" s="3">
        <f t="shared" si="8"/>
        <v>0</v>
      </c>
      <c r="P65" s="3">
        <f t="shared" si="8"/>
        <v>0</v>
      </c>
      <c r="Q65" s="3">
        <f t="shared" si="8"/>
        <v>0</v>
      </c>
      <c r="R65" s="3">
        <f t="shared" si="8"/>
        <v>0</v>
      </c>
      <c r="S65" s="3">
        <f t="shared" si="8"/>
        <v>0</v>
      </c>
      <c r="T65" s="3">
        <f t="shared" si="8"/>
        <v>0</v>
      </c>
      <c r="U65" s="3">
        <f t="shared" si="8"/>
        <v>0</v>
      </c>
      <c r="V65" s="3">
        <f t="shared" si="9"/>
        <v>0</v>
      </c>
      <c r="W65" s="3">
        <f t="shared" si="9"/>
        <v>0</v>
      </c>
      <c r="X65" s="3">
        <f t="shared" si="9"/>
        <v>0</v>
      </c>
      <c r="Y65" s="3">
        <f t="shared" si="9"/>
        <v>0</v>
      </c>
      <c r="Z65" s="3">
        <f t="shared" si="9"/>
        <v>0</v>
      </c>
      <c r="AA65" s="3">
        <f t="shared" si="9"/>
        <v>0</v>
      </c>
      <c r="AB65" s="3">
        <f t="shared" si="9"/>
        <v>0</v>
      </c>
      <c r="AC65" s="3">
        <f t="shared" si="9"/>
        <v>0</v>
      </c>
      <c r="AD65" s="3">
        <f t="shared" si="9"/>
        <v>0</v>
      </c>
      <c r="AE65" s="3">
        <f t="shared" si="9"/>
        <v>0</v>
      </c>
      <c r="AF65" s="3">
        <f t="shared" si="10"/>
        <v>0</v>
      </c>
    </row>
    <row r="66" spans="1:32" x14ac:dyDescent="0.3">
      <c r="J66" s="46" t="s">
        <v>12</v>
      </c>
      <c r="K66" s="47"/>
      <c r="L66" s="22">
        <f>MAX(L60:L65)</f>
        <v>0.6</v>
      </c>
      <c r="M66" s="22">
        <f t="shared" ref="M66:AF66" si="11">MAX(M60:M65)</f>
        <v>0.6</v>
      </c>
      <c r="N66" s="22">
        <f t="shared" si="11"/>
        <v>0.6</v>
      </c>
      <c r="O66" s="22">
        <f t="shared" si="11"/>
        <v>0.6</v>
      </c>
      <c r="P66" s="22">
        <f t="shared" si="11"/>
        <v>0.6</v>
      </c>
      <c r="Q66" s="22">
        <f t="shared" si="11"/>
        <v>0.4</v>
      </c>
      <c r="R66" s="22">
        <f t="shared" si="11"/>
        <v>0.4</v>
      </c>
      <c r="S66" s="22">
        <f t="shared" si="11"/>
        <v>0.4</v>
      </c>
      <c r="T66" s="22">
        <f t="shared" si="11"/>
        <v>0.4</v>
      </c>
      <c r="U66" s="22">
        <f t="shared" si="11"/>
        <v>0.4</v>
      </c>
      <c r="V66" s="22">
        <f t="shared" si="11"/>
        <v>0.2</v>
      </c>
      <c r="W66" s="22">
        <f t="shared" si="11"/>
        <v>0</v>
      </c>
      <c r="X66" s="22">
        <f t="shared" si="11"/>
        <v>0</v>
      </c>
      <c r="Y66" s="22">
        <f t="shared" si="11"/>
        <v>0</v>
      </c>
      <c r="Z66" s="22">
        <f t="shared" si="11"/>
        <v>0</v>
      </c>
      <c r="AA66" s="22">
        <f t="shared" si="11"/>
        <v>0</v>
      </c>
      <c r="AB66" s="22">
        <f t="shared" si="11"/>
        <v>0</v>
      </c>
      <c r="AC66" s="22">
        <f t="shared" si="11"/>
        <v>0</v>
      </c>
      <c r="AD66" s="22">
        <f t="shared" si="11"/>
        <v>0</v>
      </c>
      <c r="AE66" s="22">
        <f t="shared" si="11"/>
        <v>0</v>
      </c>
      <c r="AF66" s="22">
        <f t="shared" si="11"/>
        <v>0</v>
      </c>
    </row>
    <row r="109" spans="20:20" x14ac:dyDescent="0.3">
      <c r="T109" t="s">
        <v>32</v>
      </c>
    </row>
    <row r="111" spans="20:20" x14ac:dyDescent="0.3">
      <c r="T111" t="s">
        <v>34</v>
      </c>
    </row>
    <row r="112" spans="20:20" x14ac:dyDescent="0.3">
      <c r="T112" t="s">
        <v>35</v>
      </c>
    </row>
    <row r="113" spans="1:20" x14ac:dyDescent="0.3">
      <c r="T113" s="34" t="s">
        <v>36</v>
      </c>
    </row>
    <row r="114" spans="1:20" x14ac:dyDescent="0.3">
      <c r="T114" t="s">
        <v>38</v>
      </c>
    </row>
    <row r="116" spans="1:20" x14ac:dyDescent="0.3">
      <c r="T116" t="s">
        <v>33</v>
      </c>
    </row>
    <row r="124" spans="1:20" ht="17.25" x14ac:dyDescent="0.3">
      <c r="A124" s="14" t="s">
        <v>31</v>
      </c>
      <c r="B124" s="14"/>
      <c r="C124" s="14"/>
      <c r="D124" s="14"/>
      <c r="E124" s="14"/>
      <c r="F124" s="14"/>
      <c r="G124" s="14"/>
      <c r="H124" s="14"/>
      <c r="I124" s="14"/>
      <c r="J124" s="14"/>
      <c r="K124" s="14"/>
    </row>
  </sheetData>
  <mergeCells count="32">
    <mergeCell ref="X53:Y53"/>
    <mergeCell ref="J66:K66"/>
    <mergeCell ref="AC52:AE54"/>
    <mergeCell ref="B65:C65"/>
    <mergeCell ref="D65:E65"/>
    <mergeCell ref="F65:G65"/>
    <mergeCell ref="H65:I65"/>
    <mergeCell ref="H59:I59"/>
    <mergeCell ref="B63:C63"/>
    <mergeCell ref="D63:E63"/>
    <mergeCell ref="F63:G63"/>
    <mergeCell ref="H63:I63"/>
    <mergeCell ref="B64:C64"/>
    <mergeCell ref="D64:E64"/>
    <mergeCell ref="F64:G64"/>
    <mergeCell ref="H64:I64"/>
    <mergeCell ref="B61:C61"/>
    <mergeCell ref="D61:E61"/>
    <mergeCell ref="F61:G61"/>
    <mergeCell ref="H61:I61"/>
    <mergeCell ref="B62:C62"/>
    <mergeCell ref="D62:E62"/>
    <mergeCell ref="F62:G62"/>
    <mergeCell ref="H62:I62"/>
    <mergeCell ref="Q51:S51"/>
    <mergeCell ref="Q53:S53"/>
    <mergeCell ref="Q55:S55"/>
    <mergeCell ref="B60:C60"/>
    <mergeCell ref="D60:E60"/>
    <mergeCell ref="F60:G60"/>
    <mergeCell ref="H60:I60"/>
    <mergeCell ref="J59:K59"/>
  </mergeCells>
  <phoneticPr fontId="1"/>
  <pageMargins left="0.23622047244094491" right="0.23622047244094491" top="0.39370078740157483" bottom="0.19685039370078741" header="0.31496062992125984" footer="0.31496062992125984"/>
  <pageSetup paperSize="9" scale="95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defuzzy">
                <anchor moveWithCells="1" sizeWithCells="1">
                  <from>
                    <xdr:col>22</xdr:col>
                    <xdr:colOff>38100</xdr:colOff>
                    <xdr:row>51</xdr:row>
                    <xdr:rowOff>95250</xdr:rowOff>
                  </from>
                  <to>
                    <xdr:col>26</xdr:col>
                    <xdr:colOff>9525</xdr:colOff>
                    <xdr:row>53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Fuzzy 추론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はじめての人工知能</dc:creator>
  <cp:lastModifiedBy>문아성</cp:lastModifiedBy>
  <cp:lastPrinted>2015-07-19T10:26:27Z</cp:lastPrinted>
  <dcterms:created xsi:type="dcterms:W3CDTF">2015-03-25T01:36:45Z</dcterms:created>
  <dcterms:modified xsi:type="dcterms:W3CDTF">2018-07-12T08:13:05Z</dcterms:modified>
</cp:coreProperties>
</file>